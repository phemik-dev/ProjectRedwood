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QoR Waterfall" state="visible" r:id="rId5"/>
    <sheet sheetId="3" name="Cash Collections" state="visible" r:id="rId6"/>
    <sheet sheetId="4" name="AR Aging" state="visible" r:id="rId7"/>
    <sheet sheetId="5" name="Payer Analysis" state="visible" r:id="rId8"/>
    <sheet sheetId="6" name="Location Analysis" state="visible" r:id="rId9"/>
    <sheet sheetId="7" name="Provider Analysis" state="visible" r:id="rId10"/>
    <sheet sheetId="8" name="Service Line" state="visible" r:id="rId11"/>
    <sheet sheetId="9" name="Collection Curves" state="visible" r:id="rId12"/>
    <sheet sheetId="10" name="Assumptions" state="visible" r:id="rId13"/>
    <sheet sheetId="11" name="Reconciliation" state="visible" r:id="rId14"/>
    <sheet sheetId="12" name="Findings" state="visible" r:id="rId15"/>
    <sheet sheetId="13" name="Source Trace" state="visible" r:id="rId16"/>
  </sheets>
  <calcPr calcId="171027"/>
</workbook>
</file>

<file path=xl/sharedStrings.xml><?xml version="1.0" encoding="utf-8"?>
<sst xmlns="http://schemas.openxmlformats.org/spreadsheetml/2006/main" count="168" uniqueCount="120">
  <si>
    <t>Redwood Quality of Revenue Databook</t>
  </si>
  <si>
    <t>Run ID</t>
  </si>
  <si>
    <t>HELDOUT-POST-IMPLEMENTATION</t>
  </si>
  <si>
    <t>Method</t>
  </si>
  <si>
    <t>synthetic-demo-scenario-v0.1 0.1.0</t>
  </si>
  <si>
    <t>Metric</t>
  </si>
  <si>
    <t>Value</t>
  </si>
  <si>
    <t>Gross charge</t>
  </si>
  <si>
    <t>Allowed amount</t>
  </si>
  <si>
    <t>Observed cash</t>
  </si>
  <si>
    <t>Open A/R</t>
  </si>
  <si>
    <t>Expected remaining cash</t>
  </si>
  <si>
    <t>Realizable revenue</t>
  </si>
  <si>
    <t>Amount</t>
  </si>
  <si>
    <t>Cash event ID</t>
  </si>
  <si>
    <t>Claim ID</t>
  </si>
  <si>
    <t>Type</t>
  </si>
  <si>
    <t>Payment date</t>
  </si>
  <si>
    <t>Payer</t>
  </si>
  <si>
    <t>HO-P1</t>
  </si>
  <si>
    <t>HO-C1</t>
  </si>
  <si>
    <t>payer_payment</t>
  </si>
  <si>
    <t>2026-05-20</t>
  </si>
  <si>
    <t>Medicare</t>
  </si>
  <si>
    <t>HO-P2</t>
  </si>
  <si>
    <t>HO-C2</t>
  </si>
  <si>
    <t>2026-06-05</t>
  </si>
  <si>
    <t>Commercial</t>
  </si>
  <si>
    <t>HO-P3</t>
  </si>
  <si>
    <t/>
  </si>
  <si>
    <t>unapplied_cash</t>
  </si>
  <si>
    <t>2026-06-06</t>
  </si>
  <si>
    <t>Unapplied</t>
  </si>
  <si>
    <t>Receivable ID</t>
  </si>
  <si>
    <t>Snapshot</t>
  </si>
  <si>
    <t>Age basis</t>
  </si>
  <si>
    <t>Age bucket</t>
  </si>
  <si>
    <t>Balance</t>
  </si>
  <si>
    <t>Valuation snapshot</t>
  </si>
  <si>
    <t>HO-C1:2026-06-30</t>
  </si>
  <si>
    <t>2026-06-30</t>
  </si>
  <si>
    <t>service_date</t>
  </si>
  <si>
    <t>31-60</t>
  </si>
  <si>
    <t>Active</t>
  </si>
  <si>
    <t>HO-C2:2026-06-30</t>
  </si>
  <si>
    <t>0-30</t>
  </si>
  <si>
    <t>Location</t>
  </si>
  <si>
    <t>HO-LOC-1</t>
  </si>
  <si>
    <t>HO-LOC-2</t>
  </si>
  <si>
    <t>Provider</t>
  </si>
  <si>
    <t>HO-PRV-A</t>
  </si>
  <si>
    <t>HO-PRV-B</t>
  </si>
  <si>
    <t>Service line</t>
  </si>
  <si>
    <t>Primary Care</t>
  </si>
  <si>
    <t>Imaging</t>
  </si>
  <si>
    <t>Configured recovery rate</t>
  </si>
  <si>
    <t>A/R balance</t>
  </si>
  <si>
    <t>Expected recovery</t>
  </si>
  <si>
    <t>61-90</t>
  </si>
  <si>
    <t>91-120</t>
  </si>
  <si>
    <t>121+</t>
  </si>
  <si>
    <t>Method profile</t>
  </si>
  <si>
    <t>synthetic-demo-scenario-v0.1</t>
  </si>
  <si>
    <t>Version</t>
  </si>
  <si>
    <t>0.1.0</t>
  </si>
  <si>
    <t>Professional materiality</t>
  </si>
  <si>
    <t>Unset until approved</t>
  </si>
  <si>
    <t>Recovery methodology</t>
  </si>
  <si>
    <t>Method-profile configured; approval-bound</t>
  </si>
  <si>
    <t>Authoritative editable recovery rates</t>
  </si>
  <si>
    <t>Collection Curves!B2:B6</t>
  </si>
  <si>
    <t>Important</t>
  </si>
  <si>
    <t>Changing the workbook assumptions does not approve a platform Method Profile or release a client work product.</t>
  </si>
  <si>
    <t>Control</t>
  </si>
  <si>
    <t>Left total</t>
  </si>
  <si>
    <t>Right total</t>
  </si>
  <si>
    <t>Difference</t>
  </si>
  <si>
    <t>Arithmetic status</t>
  </si>
  <si>
    <t>Materiality</t>
  </si>
  <si>
    <t>Evidence</t>
  </si>
  <si>
    <t>All cash to GL cash</t>
  </si>
  <si>
    <t>difference</t>
  </si>
  <si>
    <t>unset</t>
  </si>
  <si>
    <t>5588ddcb074ab2156f742aac244a125b586524070362d1b2d5fad32262e3b8e6:2; 5588ddcb074ab2156f742aac244a125b586524070362d1b2d5fad32262e3b8e6:3; 5588ddcb074ab2156f742aac244a125b586524070362d1b2d5fad32262e3b8e6:4; 0517c636a3153d6b74fd82afb6b9c68e9d69e3043172207da49a92c86a8e04d4:2</t>
  </si>
  <si>
    <t>Matched cash to GL cash</t>
  </si>
  <si>
    <t>matched</t>
  </si>
  <si>
    <t>5588ddcb074ab2156f742aac244a125b586524070362d1b2d5fad32262e3b8e6:2; 5588ddcb074ab2156f742aac244a125b586524070362d1b2d5fad32262e3b8e6:3</t>
  </si>
  <si>
    <t>A/R snapshot to GL A/R</t>
  </si>
  <si>
    <t>a038c1755666c6831eaf5699126f4a9136b756d6c7261068ab879cef0a5f1220:2; a038c1755666c6831eaf5699126f4a9136b756d6c7261068ab879cef0a5f1220:3; 0517c636a3153d6b74fd82afb6b9c68e9d69e3043172207da49a92c86a8e04d4:2</t>
  </si>
  <si>
    <t>Status</t>
  </si>
  <si>
    <t>Title</t>
  </si>
  <si>
    <t>Detail</t>
  </si>
  <si>
    <t>open</t>
  </si>
  <si>
    <t>All cash to GL cash difference</t>
  </si>
  <si>
    <t>Difference remains visible: 750 cents. Professional materiality is unset.</t>
  </si>
  <si>
    <t>Unmatched cash</t>
  </si>
  <si>
    <t>750 cents is not linked to a canonical claim; no balancing entry was made.</t>
  </si>
  <si>
    <t>5588ddcb074ab2156f742aac244a125b586524070362d1b2d5fad32262e3b8e6:4</t>
  </si>
  <si>
    <t>Source file</t>
  </si>
  <si>
    <t>File hash</t>
  </si>
  <si>
    <t>Source row</t>
  </si>
  <si>
    <t>Record type</t>
  </si>
  <si>
    <t>Record ID</t>
  </si>
  <si>
    <t>source_claims.csv</t>
  </si>
  <si>
    <t>1ead0e4db5c36cdbf4d4a15f6dbac45158ae7ffb7276b8d4c612eb77892bfd76</t>
  </si>
  <si>
    <t>1ead0e4db5c36cdbf4d4a15f6dbac45158ae7ffb7276b8d4c612eb77892bfd76:2</t>
  </si>
  <si>
    <t>Claim</t>
  </si>
  <si>
    <t>HO-C1:v1</t>
  </si>
  <si>
    <t>1ead0e4db5c36cdbf4d4a15f6dbac45158ae7ffb7276b8d4c612eb77892bfd76:3</t>
  </si>
  <si>
    <t>HO-C2:v1</t>
  </si>
  <si>
    <t>source_payments.csv</t>
  </si>
  <si>
    <t>5588ddcb074ab2156f742aac244a125b586524070362d1b2d5fad32262e3b8e6</t>
  </si>
  <si>
    <t>5588ddcb074ab2156f742aac244a125b586524070362d1b2d5fad32262e3b8e6:2</t>
  </si>
  <si>
    <t>CashEvent</t>
  </si>
  <si>
    <t>5588ddcb074ab2156f742aac244a125b586524070362d1b2d5fad32262e3b8e6:3</t>
  </si>
  <si>
    <t>source_ar.csv</t>
  </si>
  <si>
    <t>a038c1755666c6831eaf5699126f4a9136b756d6c7261068ab879cef0a5f1220</t>
  </si>
  <si>
    <t>a038c1755666c6831eaf5699126f4a9136b756d6c7261068ab879cef0a5f1220:2</t>
  </si>
  <si>
    <t>Receivable</t>
  </si>
  <si>
    <t>a038c1755666c6831eaf5699126f4a9136b756d6c7261068ab879cef0a5f1220:3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</si>
</sst>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-$#,##0.00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102B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style="1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 t="s">
        <v>4</v>
      </c>
    </row>
    <row r="5" spans="1:2" x14ac:dyDescent="0.25">
      <c r="A5" t="s">
        <v>5</v>
      </c>
      <c r="B5" s="1" t="s">
        <v>6</v>
      </c>
    </row>
    <row r="6" spans="1:2" x14ac:dyDescent="0.25">
      <c r="A6" t="s">
        <v>7</v>
      </c>
      <c r="B6" s="1">
        <v>701</v>
      </c>
    </row>
    <row r="7" spans="1:2" x14ac:dyDescent="0.25">
      <c r="A7" t="s">
        <v>8</v>
      </c>
      <c r="B7" s="1">
        <v>510</v>
      </c>
    </row>
    <row r="8" spans="1:2" x14ac:dyDescent="0.25">
      <c r="A8" t="s">
        <v>9</v>
      </c>
      <c r="B8" s="1">
        <v>432.5</v>
      </c>
    </row>
    <row r="9" spans="1:2" x14ac:dyDescent="0.25">
      <c r="A9" t="s">
        <v>10</v>
      </c>
      <c r="B9" s="1">
        <v>85</v>
      </c>
    </row>
    <row r="10" spans="1:2" x14ac:dyDescent="0.25">
      <c r="A10" t="s">
        <v>11</v>
      </c>
      <c r="B10" s="1">
        <f>SUM('Collection Curves'!D2:D6)</f>
      </c>
    </row>
    <row r="11" spans="1:2" x14ac:dyDescent="0.25">
      <c r="A11" t="s">
        <v>12</v>
      </c>
      <c r="B11" s="1">
        <f>B8+B10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5</v>
      </c>
      <c r="B1" s="3" t="s">
        <v>13</v>
      </c>
    </row>
    <row r="2" spans="1:2" x14ac:dyDescent="0.25">
      <c r="A2" t="s">
        <v>7</v>
      </c>
      <c r="B2" s="1">
        <f>'Executive Summary'!B6</f>
      </c>
    </row>
    <row r="3" spans="1:2" x14ac:dyDescent="0.25">
      <c r="A3" t="s">
        <v>8</v>
      </c>
      <c r="B3" s="1">
        <f>'Executive Summary'!B7</f>
      </c>
    </row>
    <row r="4" spans="1:2" x14ac:dyDescent="0.25">
      <c r="A4" t="s">
        <v>9</v>
      </c>
      <c r="B4" s="1">
        <f>'Executive Summary'!B8</f>
      </c>
    </row>
    <row r="5" spans="1:2" x14ac:dyDescent="0.25">
      <c r="A5" t="s">
        <v>11</v>
      </c>
      <c r="B5" s="1">
        <f>'Executive Summary'!B10</f>
      </c>
    </row>
    <row r="6" spans="1:2" x14ac:dyDescent="0.25">
      <c r="A6" t="s">
        <v>12</v>
      </c>
      <c r="B6" s="1">
        <f>B4+B5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18" style="1" customWidth="1"/>
  </cols>
  <sheetData>
    <row r="1" spans="1:6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3" t="s">
        <v>13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250</v>
      </c>
    </row>
    <row r="3" spans="1:6" x14ac:dyDescent="0.25">
      <c r="A3" t="s">
        <v>24</v>
      </c>
      <c r="B3" t="s">
        <v>25</v>
      </c>
      <c r="C3" t="s">
        <v>21</v>
      </c>
      <c r="D3" t="s">
        <v>26</v>
      </c>
      <c r="E3" t="s">
        <v>27</v>
      </c>
      <c r="F3" s="1">
        <v>175</v>
      </c>
    </row>
    <row r="4" spans="1: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s="1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18" style="1" customWidth="1"/>
    <col min="7" max="7" width="18" customWidth="1"/>
  </cols>
  <sheetData>
    <row r="1" spans="1:7" s="2" customFormat="1" x14ac:dyDescent="0.25">
      <c r="A1" s="2" t="s">
        <v>33</v>
      </c>
      <c r="B1" s="2" t="s">
        <v>34</v>
      </c>
      <c r="C1" s="2" t="s">
        <v>15</v>
      </c>
      <c r="D1" s="2" t="s">
        <v>35</v>
      </c>
      <c r="E1" s="2" t="s">
        <v>36</v>
      </c>
      <c r="F1" s="3" t="s">
        <v>37</v>
      </c>
      <c r="G1" s="2" t="s">
        <v>38</v>
      </c>
    </row>
    <row r="2" spans="1:7" x14ac:dyDescent="0.25">
      <c r="A2" t="s">
        <v>39</v>
      </c>
      <c r="B2" t="s">
        <v>40</v>
      </c>
      <c r="C2" t="s">
        <v>20</v>
      </c>
      <c r="D2" t="s">
        <v>41</v>
      </c>
      <c r="E2" t="s">
        <v>42</v>
      </c>
      <c r="F2" s="1">
        <v>50</v>
      </c>
      <c r="G2" t="s">
        <v>43</v>
      </c>
    </row>
    <row r="3" spans="1:7" x14ac:dyDescent="0.25">
      <c r="A3" t="s">
        <v>44</v>
      </c>
      <c r="B3" t="s">
        <v>40</v>
      </c>
      <c r="C3" t="s">
        <v>25</v>
      </c>
      <c r="D3" t="s">
        <v>41</v>
      </c>
      <c r="E3" t="s">
        <v>45</v>
      </c>
      <c r="F3" s="1">
        <v>35</v>
      </c>
      <c r="G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18</v>
      </c>
      <c r="B1" s="3" t="s">
        <v>9</v>
      </c>
    </row>
    <row r="2" spans="1:2" x14ac:dyDescent="0.25">
      <c r="A2" t="s">
        <v>23</v>
      </c>
      <c r="B2" s="1">
        <v>250</v>
      </c>
    </row>
    <row r="3" spans="1:2" x14ac:dyDescent="0.25">
      <c r="A3" t="s">
        <v>27</v>
      </c>
      <c r="B3" s="1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46</v>
      </c>
      <c r="B1" s="3" t="s">
        <v>7</v>
      </c>
    </row>
    <row r="2" spans="1:2" x14ac:dyDescent="0.25">
      <c r="A2" t="s">
        <v>47</v>
      </c>
      <c r="B2" s="1">
        <v>411.23</v>
      </c>
    </row>
    <row r="3" spans="1:2" x14ac:dyDescent="0.25">
      <c r="A3" t="s">
        <v>48</v>
      </c>
      <c r="B3" s="1">
        <v>289.77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49</v>
      </c>
      <c r="B1" s="3" t="s">
        <v>7</v>
      </c>
    </row>
    <row r="2" spans="1:2" x14ac:dyDescent="0.25">
      <c r="A2" t="s">
        <v>50</v>
      </c>
      <c r="B2" s="1">
        <v>411.23</v>
      </c>
    </row>
    <row r="3" spans="1:2" x14ac:dyDescent="0.25">
      <c r="A3" t="s">
        <v>51</v>
      </c>
      <c r="B3" s="1">
        <v>289.77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52</v>
      </c>
      <c r="B1" s="3" t="s">
        <v>7</v>
      </c>
    </row>
    <row r="2" spans="1:2" x14ac:dyDescent="0.25">
      <c r="A2" t="s">
        <v>53</v>
      </c>
      <c r="B2" s="1">
        <v>411.23</v>
      </c>
    </row>
    <row r="3" spans="1:2" x14ac:dyDescent="0.25">
      <c r="A3" t="s">
        <v>54</v>
      </c>
      <c r="B3" s="1">
        <v>289.77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4" customWidth="1"/>
    <col min="3" max="4" width="18" style="1" customWidth="1"/>
  </cols>
  <sheetData>
    <row r="1" spans="1:4" s="2" customFormat="1" x14ac:dyDescent="0.25">
      <c r="A1" s="2" t="s">
        <v>36</v>
      </c>
      <c r="B1" s="5" t="s">
        <v>55</v>
      </c>
      <c r="C1" s="3" t="s">
        <v>56</v>
      </c>
      <c r="D1" s="3" t="s">
        <v>57</v>
      </c>
    </row>
    <row r="2" spans="1:4" x14ac:dyDescent="0.25">
      <c r="A2" t="s">
        <v>45</v>
      </c>
      <c r="B2" s="4">
        <v>0.9</v>
      </c>
      <c r="C2" s="1">
        <f>SUMIFS('AR Aging'!F:F,'AR Aging'!E:E,A2,'AR Aging'!G:G,"Active")</f>
      </c>
      <c r="D2" s="1">
        <f>B2*C2</f>
      </c>
    </row>
    <row r="3" spans="1:4" x14ac:dyDescent="0.25">
      <c r="A3" t="s">
        <v>42</v>
      </c>
      <c r="B3" s="4">
        <v>0.7</v>
      </c>
      <c r="C3" s="1">
        <f>SUMIFS('AR Aging'!F:F,'AR Aging'!E:E,A3,'AR Aging'!G:G,"Active")</f>
      </c>
      <c r="D3" s="1">
        <f>B3*C3</f>
      </c>
    </row>
    <row r="4" spans="1:4" x14ac:dyDescent="0.25">
      <c r="A4" t="s">
        <v>58</v>
      </c>
      <c r="B4" s="4">
        <v>0.5</v>
      </c>
      <c r="C4" s="1">
        <f>SUMIFS('AR Aging'!F:F,'AR Aging'!E:E,A4,'AR Aging'!G:G,"Active")</f>
      </c>
      <c r="D4" s="1">
        <f>B4*C4</f>
      </c>
    </row>
    <row r="5" spans="1:4" x14ac:dyDescent="0.25">
      <c r="A5" t="s">
        <v>59</v>
      </c>
      <c r="B5" s="4">
        <v>0.3</v>
      </c>
      <c r="C5" s="1">
        <f>SUMIFS('AR Aging'!F:F,'AR Aging'!E:E,A5,'AR Aging'!G:G,"Active")</f>
      </c>
      <c r="D5" s="1">
        <f>B5*C5</f>
      </c>
    </row>
    <row r="6" spans="1:4" x14ac:dyDescent="0.25">
      <c r="A6" t="s">
        <v>60</v>
      </c>
      <c r="B6" s="4">
        <v>0.1</v>
      </c>
      <c r="C6" s="1">
        <f>SUMIFS('AR Aging'!F:F,'AR Aging'!E:E,A6,'AR Aging'!G:G,"Active")</f>
      </c>
      <c r="D6" s="1">
        <f>B6*C6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2" customFormat="1" x14ac:dyDescent="0.25">
      <c r="A1" s="2" t="s">
        <v>61</v>
      </c>
      <c r="B1" s="2" t="s">
        <v>62</v>
      </c>
    </row>
    <row r="2" spans="1:2" x14ac:dyDescent="0.25">
      <c r="A2" t="s">
        <v>63</v>
      </c>
      <c r="B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70</v>
      </c>
    </row>
    <row r="6" spans="1:2" x14ac:dyDescent="0.25">
      <c r="A6" t="s">
        <v>71</v>
      </c>
      <c r="B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8" style="1" customWidth="1"/>
    <col min="5" max="7" width="18" customWidth="1"/>
  </cols>
  <sheetData>
    <row r="1" spans="1:7" s="2" customFormat="1" x14ac:dyDescent="0.25">
      <c r="A1" s="2" t="s">
        <v>73</v>
      </c>
      <c r="B1" s="3" t="s">
        <v>74</v>
      </c>
      <c r="C1" s="3" t="s">
        <v>75</v>
      </c>
      <c r="D1" s="3" t="s">
        <v>76</v>
      </c>
      <c r="E1" s="2" t="s">
        <v>77</v>
      </c>
      <c r="F1" s="2" t="s">
        <v>78</v>
      </c>
      <c r="G1" s="2" t="s">
        <v>79</v>
      </c>
    </row>
    <row r="2" spans="1:7" x14ac:dyDescent="0.25">
      <c r="A2" t="s">
        <v>80</v>
      </c>
      <c r="B2" s="1">
        <v>432.5</v>
      </c>
      <c r="C2" s="1">
        <v>425</v>
      </c>
      <c r="D2" s="1">
        <f>B2-C2</f>
      </c>
      <c r="E2" t="s">
        <v>81</v>
      </c>
      <c r="F2" t="s">
        <v>82</v>
      </c>
      <c r="G2" t="s">
        <v>83</v>
      </c>
    </row>
    <row r="3" spans="1:7" x14ac:dyDescent="0.25">
      <c r="A3" t="s">
        <v>84</v>
      </c>
      <c r="B3" s="1">
        <v>425</v>
      </c>
      <c r="C3" s="1">
        <v>425</v>
      </c>
      <c r="D3" s="1">
        <f>B3-C3</f>
      </c>
      <c r="E3" t="s">
        <v>85</v>
      </c>
      <c r="F3" t="s">
        <v>82</v>
      </c>
      <c r="G3" t="s">
        <v>86</v>
      </c>
    </row>
    <row r="4" spans="1:7" x14ac:dyDescent="0.25">
      <c r="A4" t="s">
        <v>87</v>
      </c>
      <c r="B4" s="1">
        <v>85</v>
      </c>
      <c r="C4" s="1">
        <v>85</v>
      </c>
      <c r="D4" s="1">
        <f>B4-C4</f>
      </c>
      <c r="E4" t="s">
        <v>85</v>
      </c>
      <c r="F4" t="s">
        <v>82</v>
      </c>
      <c r="G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2" customFormat="1" x14ac:dyDescent="0.25">
      <c r="A1" s="2" t="s">
        <v>89</v>
      </c>
      <c r="B1" s="2" t="s">
        <v>90</v>
      </c>
      <c r="C1" s="2" t="s">
        <v>91</v>
      </c>
      <c r="D1" s="2" t="s">
        <v>79</v>
      </c>
    </row>
    <row r="2" spans="1:4" x14ac:dyDescent="0.25">
      <c r="A2" t="s">
        <v>92</v>
      </c>
      <c r="B2" t="s">
        <v>93</v>
      </c>
      <c r="C2" t="s">
        <v>94</v>
      </c>
      <c r="D2" t="s">
        <v>83</v>
      </c>
    </row>
    <row r="3" spans="1:4" x14ac:dyDescent="0.25">
      <c r="A3" t="s">
        <v>92</v>
      </c>
      <c r="B3" t="s">
        <v>95</v>
      </c>
      <c r="C3" t="s">
        <v>96</v>
      </c>
      <c r="D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2" customFormat="1" x14ac:dyDescent="0.25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</row>
    <row r="2" spans="1:5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</row>
    <row r="3" spans="1:5" x14ac:dyDescent="0.25">
      <c r="A3" t="s">
        <v>103</v>
      </c>
      <c r="B3" t="s">
        <v>104</v>
      </c>
      <c r="C3" t="s">
        <v>108</v>
      </c>
      <c r="D3" t="s">
        <v>106</v>
      </c>
      <c r="E3" t="s">
        <v>109</v>
      </c>
    </row>
    <row r="4" spans="1:5" x14ac:dyDescent="0.25">
      <c r="A4" t="s">
        <v>110</v>
      </c>
      <c r="B4" t="s">
        <v>111</v>
      </c>
      <c r="C4" t="s">
        <v>112</v>
      </c>
      <c r="D4" t="s">
        <v>113</v>
      </c>
      <c r="E4" t="s">
        <v>19</v>
      </c>
    </row>
    <row r="5" spans="1:5" x14ac:dyDescent="0.25">
      <c r="A5" t="s">
        <v>110</v>
      </c>
      <c r="B5" t="s">
        <v>111</v>
      </c>
      <c r="C5" t="s">
        <v>114</v>
      </c>
      <c r="D5" t="s">
        <v>113</v>
      </c>
      <c r="E5" t="s">
        <v>24</v>
      </c>
    </row>
    <row r="6" spans="1:5" x14ac:dyDescent="0.25">
      <c r="A6" t="s">
        <v>110</v>
      </c>
      <c r="B6" t="s">
        <v>111</v>
      </c>
      <c r="C6" t="s">
        <v>97</v>
      </c>
      <c r="D6" t="s">
        <v>113</v>
      </c>
      <c r="E6" t="s">
        <v>28</v>
      </c>
    </row>
    <row r="7" spans="1:5" x14ac:dyDescent="0.25">
      <c r="A7" t="s">
        <v>115</v>
      </c>
      <c r="B7" t="s">
        <v>116</v>
      </c>
      <c r="C7" t="s">
        <v>117</v>
      </c>
      <c r="D7" t="s">
        <v>118</v>
      </c>
      <c r="E7" t="s">
        <v>39</v>
      </c>
    </row>
    <row r="8" spans="1:5" x14ac:dyDescent="0.25">
      <c r="A8" t="s">
        <v>115</v>
      </c>
      <c r="B8" t="s">
        <v>116</v>
      </c>
      <c r="C8" t="s">
        <v>119</v>
      </c>
      <c r="D8" t="s">
        <v>118</v>
      </c>
      <c r="E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QoR Waterfall</vt:lpstr>
      <vt:lpstr>Cash Collections</vt:lpstr>
      <vt:lpstr>AR Aging</vt:lpstr>
      <vt:lpstr>Payer Analysis</vt:lpstr>
      <vt:lpstr>Location Analysis</vt:lpstr>
      <vt:lpstr>Provider Analysis</vt:lpstr>
      <vt:lpstr>Service Line</vt:lpstr>
      <vt:lpstr>Collection Curves</vt:lpstr>
      <vt:lpstr>Assumptions</vt:lpstr>
      <vt:lpstr>Reconciliation</vt:lpstr>
      <vt:lpstr>Findings</vt:lpstr>
      <vt:lpstr>Source Trace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Redwood</dc:creator>
  <dc:title/>
  <dc:subject/>
  <dc:description/>
  <cp:keywords/>
  <cp:category/>
  <cp:lastModifiedBy>Unknown</cp:lastModifiedBy>
  <dcterms:created xsi:type="dcterms:W3CDTF">2026-09-25T10:12:26Z</dcterms:created>
  <dcterms:modified xsi:type="dcterms:W3CDTF">2026-09-25T10:12:26Z</dcterms:modified>
</cp:coreProperties>
</file>