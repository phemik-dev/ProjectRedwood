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Executive Summary" state="visible" r:id="rId4"/>
    <sheet sheetId="2" name="Reconciliation" state="visible" r:id="rId5"/>
    <sheet sheetId="3" name="Assumptions" state="visible" r:id="rId6"/>
    <sheet sheetId="4" name="Findings" state="visible" r:id="rId7"/>
    <sheet sheetId="5" name="Source Trace" state="visible" r:id="rId8"/>
  </sheets>
  <calcPr calcId="171027"/>
</workbook>
</file>

<file path=xl/sharedStrings.xml><?xml version="1.0" encoding="utf-8"?>
<sst xmlns="http://schemas.openxmlformats.org/spreadsheetml/2006/main" count="100" uniqueCount="76">
  <si>
    <t>Redwood Quality of Revenue Databook</t>
  </si>
  <si>
    <t>Run ID</t>
  </si>
  <si>
    <t>ENG001-demo</t>
  </si>
  <si>
    <t>Method</t>
  </si>
  <si>
    <t>redwood-physician-group-qor-draft-v0.1 0.1.0</t>
  </si>
  <si>
    <t>Metric</t>
  </si>
  <si>
    <t>Value</t>
  </si>
  <si>
    <t>Gross charge</t>
  </si>
  <si>
    <t>Allowed amount</t>
  </si>
  <si>
    <t>Observed cash</t>
  </si>
  <si>
    <t>Open A/R</t>
  </si>
  <si>
    <t>Expected remaining cash</t>
  </si>
  <si>
    <t>Realizable revenue</t>
  </si>
  <si>
    <t>Control</t>
  </si>
  <si>
    <t>Left total</t>
  </si>
  <si>
    <t>Right total</t>
  </si>
  <si>
    <t>Difference</t>
  </si>
  <si>
    <t>Arithmetic status</t>
  </si>
  <si>
    <t>Materiality</t>
  </si>
  <si>
    <t>Evidence</t>
  </si>
  <si>
    <t>All cash to GL cash</t>
  </si>
  <si>
    <t>difference</t>
  </si>
  <si>
    <t>unset</t>
  </si>
  <si>
    <t>cfc655633d1d8c9f558ad2f75e1f329597e57be42c3ec10add578f66065ee9ea:2; cfc655633d1d8c9f558ad2f75e1f329597e57be42c3ec10add578f66065ee9ea:3; cfc655633d1d8c9f558ad2f75e1f329597e57be42c3ec10add578f66065ee9ea:4; 45aed22e980cb357ba709f0da96d3a033b7669da1e9ce3bff1fa9ef88da1044e:2</t>
  </si>
  <si>
    <t>Matched cash to GL cash</t>
  </si>
  <si>
    <t>cfc655633d1d8c9f558ad2f75e1f329597e57be42c3ec10add578f66065ee9ea:2; cfc655633d1d8c9f558ad2f75e1f329597e57be42c3ec10add578f66065ee9ea:3</t>
  </si>
  <si>
    <t>A/R snapshot to GL A/R</t>
  </si>
  <si>
    <t>bf94986286656f63b92f66fc57c5412a219ec14a7e0fc6604d7aba34d9fd5fe2:2; bf94986286656f63b92f66fc57c5412a219ec14a7e0fc6604d7aba34d9fd5fe2:3; 45aed22e980cb357ba709f0da96d3a033b7669da1e9ce3bff1fa9ef88da1044e:2</t>
  </si>
  <si>
    <t>Method profile</t>
  </si>
  <si>
    <t>redwood-physician-group-qor-draft-v0.1</t>
  </si>
  <si>
    <t>Version</t>
  </si>
  <si>
    <t>0.1.0</t>
  </si>
  <si>
    <t>Professional materiality</t>
  </si>
  <si>
    <t>Unset until approved</t>
  </si>
  <si>
    <t>Recovery methodology</t>
  </si>
  <si>
    <t>Method-profile configured; approval-bound</t>
  </si>
  <si>
    <t>Status</t>
  </si>
  <si>
    <t>Title</t>
  </si>
  <si>
    <t>Detail</t>
  </si>
  <si>
    <t>open</t>
  </si>
  <si>
    <t>All cash to GL cash difference</t>
  </si>
  <si>
    <t>Difference remains visible: 75000 cents. Professional materiality is unset.</t>
  </si>
  <si>
    <t>Matched cash to GL cash difference</t>
  </si>
  <si>
    <t>Difference remains visible: 107145 cents. Professional materiality is unset.</t>
  </si>
  <si>
    <t>A/R snapshot to GL A/R difference</t>
  </si>
  <si>
    <t>Difference remains visible: 140501 cents. Professional materiality is unset.</t>
  </si>
  <si>
    <t>Unmatched cash</t>
  </si>
  <si>
    <t>32145 cents is not linked to a canonical claim; no balancing entry was made.</t>
  </si>
  <si>
    <t>cfc655633d1d8c9f558ad2f75e1f329597e57be42c3ec10add578f66065ee9ea:4</t>
  </si>
  <si>
    <t>Source file</t>
  </si>
  <si>
    <t>File hash</t>
  </si>
  <si>
    <t>Source row</t>
  </si>
  <si>
    <t>Record type</t>
  </si>
  <si>
    <t>Record ID</t>
  </si>
  <si>
    <t>claims.csv</t>
  </si>
  <si>
    <t>8915d58574a70bb9a9058707176d3e3e8061f7e5749f1e7b5e33d31c98ca84ca</t>
  </si>
  <si>
    <t>8915d58574a70bb9a9058707176d3e3e8061f7e5749f1e7b5e33d31c98ca84ca:2</t>
  </si>
  <si>
    <t>Claim</t>
  </si>
  <si>
    <t>ENG001-C001</t>
  </si>
  <si>
    <t>8915d58574a70bb9a9058707176d3e3e8061f7e5749f1e7b5e33d31c98ca84ca:3</t>
  </si>
  <si>
    <t>ENG001-C002</t>
  </si>
  <si>
    <t>payments.csv</t>
  </si>
  <si>
    <t>cfc655633d1d8c9f558ad2f75e1f329597e57be42c3ec10add578f66065ee9ea</t>
  </si>
  <si>
    <t>cfc655633d1d8c9f558ad2f75e1f329597e57be42c3ec10add578f66065ee9ea:2</t>
  </si>
  <si>
    <t>CashEvent</t>
  </si>
  <si>
    <t>ENG001-P001</t>
  </si>
  <si>
    <t>cfc655633d1d8c9f558ad2f75e1f329597e57be42c3ec10add578f66065ee9ea:3</t>
  </si>
  <si>
    <t>ENG001-P002</t>
  </si>
  <si>
    <t>ENG001-P003</t>
  </si>
  <si>
    <t>ar_snapshot.csv</t>
  </si>
  <si>
    <t>bf94986286656f63b92f66fc57c5412a219ec14a7e0fc6604d7aba34d9fd5fe2</t>
  </si>
  <si>
    <t>bf94986286656f63b92f66fc57c5412a219ec14a7e0fc6604d7aba34d9fd5fe2:2</t>
  </si>
  <si>
    <t>Receivable</t>
  </si>
  <si>
    <t>ENG001-AR001:2026-06-30</t>
  </si>
  <si>
    <t>bf94986286656f63b92f66fc57c5412a219ec14a7e0fc6604d7aba34d9fd5fe2:3</t>
  </si>
  <si>
    <t>ENG001-AR002:2026-06-30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</si>
</sst>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$#,##0.00;[Red]-$#,##0.00"/>
  </numFmts>
  <fonts count="2" x14ac:knownFonts="1">
    <font>
      <color theme="1"/>
      <family val="2"/>
      <scheme val="minor"/>
      <sz val="11"/>
      <name val="Calibri"/>
    </font>
    <font>
      <b/>
      <color rgb="FF102B36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164" fontId="0" fillId="0" borderId="0" xfId="0" applyNumberFormat="1"/>
    <xf numFmtId="164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24" customWidth="1"/>
  </cols>
  <sheetData>
    <row r="1" spans="1:1" s="1" customFormat="1" x14ac:dyDescent="0.25">
      <c r="A1" s="1" t="s">
        <v>0</v>
      </c>
    </row>
    <row r="2" spans="1:2" x14ac:dyDescent="0.25">
      <c r="A2" t="s">
        <v>1</v>
      </c>
      <c r="B2" t="s">
        <v>2</v>
      </c>
    </row>
    <row r="3" spans="1:2" x14ac:dyDescent="0.25">
      <c r="A3" t="s">
        <v>3</v>
      </c>
      <c r="B3" t="s">
        <v>4</v>
      </c>
    </row>
    <row r="5" spans="1:2" x14ac:dyDescent="0.25">
      <c r="A5" t="s">
        <v>5</v>
      </c>
      <c r="B5" t="s">
        <v>6</v>
      </c>
    </row>
    <row r="6" spans="1:2" x14ac:dyDescent="0.25">
      <c r="A6" t="s">
        <v>7</v>
      </c>
      <c r="B6">
        <v>109646.56</v>
      </c>
    </row>
    <row r="7" spans="1:2" x14ac:dyDescent="0.25">
      <c r="A7" t="s">
        <v>8</v>
      </c>
      <c r="B7">
        <v>69116.88</v>
      </c>
    </row>
    <row r="8" spans="1:2" x14ac:dyDescent="0.25">
      <c r="A8" t="s">
        <v>9</v>
      </c>
      <c r="B8">
        <v>53527.04</v>
      </c>
    </row>
    <row r="9" spans="1:2" x14ac:dyDescent="0.25">
      <c r="A9" t="s">
        <v>10</v>
      </c>
      <c r="B9">
        <v>15911.29</v>
      </c>
    </row>
    <row r="10" spans="1:2" x14ac:dyDescent="0.25">
      <c r="A10" t="s">
        <v>11</v>
      </c>
      <c r="B10">
        <v>7102.94</v>
      </c>
    </row>
    <row r="11" spans="1:2" x14ac:dyDescent="0.25">
      <c r="A11" t="s">
        <v>12</v>
      </c>
      <c r="B11" s="2">
        <f>B8+B10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4" width="18" style="2" customWidth="1"/>
    <col min="5" max="7" width="18" customWidth="1"/>
  </cols>
  <sheetData>
    <row r="1" spans="1:7" s="1" customFormat="1" x14ac:dyDescent="0.25">
      <c r="A1" s="1" t="s">
        <v>13</v>
      </c>
      <c r="B1" s="3" t="s">
        <v>14</v>
      </c>
      <c r="C1" s="3" t="s">
        <v>15</v>
      </c>
      <c r="D1" s="3" t="s">
        <v>16</v>
      </c>
      <c r="E1" s="1" t="s">
        <v>17</v>
      </c>
      <c r="F1" s="1" t="s">
        <v>18</v>
      </c>
      <c r="G1" s="1" t="s">
        <v>19</v>
      </c>
    </row>
    <row r="2" spans="1:7" x14ac:dyDescent="0.25">
      <c r="A2" t="s">
        <v>20</v>
      </c>
      <c r="B2" s="2">
        <v>53527.04</v>
      </c>
      <c r="C2" s="2">
        <v>52777.04</v>
      </c>
      <c r="D2" s="2">
        <f>B2-C2</f>
      </c>
      <c r="E2" t="s">
        <v>21</v>
      </c>
      <c r="F2" t="s">
        <v>22</v>
      </c>
      <c r="G2" t="s">
        <v>23</v>
      </c>
    </row>
    <row r="3" spans="1:7" x14ac:dyDescent="0.25">
      <c r="A3" t="s">
        <v>24</v>
      </c>
      <c r="B3" s="2">
        <v>53205.59</v>
      </c>
      <c r="C3" s="2">
        <v>52134.14</v>
      </c>
      <c r="D3" s="2">
        <f>B3-C3</f>
      </c>
      <c r="E3" t="s">
        <v>21</v>
      </c>
      <c r="F3" t="s">
        <v>22</v>
      </c>
      <c r="G3" t="s">
        <v>25</v>
      </c>
    </row>
    <row r="4" spans="1:7" x14ac:dyDescent="0.25">
      <c r="A4" t="s">
        <v>26</v>
      </c>
      <c r="B4" s="2">
        <v>15911.29</v>
      </c>
      <c r="C4" s="2">
        <v>14506.28</v>
      </c>
      <c r="D4" s="2">
        <f>B4-C4</f>
      </c>
      <c r="E4" t="s">
        <v>21</v>
      </c>
      <c r="F4" t="s">
        <v>22</v>
      </c>
      <c r="G4" t="s">
        <v>27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8" customWidth="1"/>
  </cols>
  <sheetData>
    <row r="1" spans="1:2" s="1" customFormat="1" x14ac:dyDescent="0.25">
      <c r="A1" s="1" t="s">
        <v>28</v>
      </c>
      <c r="B1" s="1" t="s">
        <v>29</v>
      </c>
    </row>
    <row r="2" spans="1:2" x14ac:dyDescent="0.25">
      <c r="A2" t="s">
        <v>30</v>
      </c>
      <c r="B2" t="s">
        <v>31</v>
      </c>
    </row>
    <row r="3" spans="1:2" x14ac:dyDescent="0.25">
      <c r="A3" t="s">
        <v>32</v>
      </c>
      <c r="B3" t="s">
        <v>33</v>
      </c>
    </row>
    <row r="4" spans="1:2" x14ac:dyDescent="0.25">
      <c r="A4" t="s">
        <v>34</v>
      </c>
      <c r="B4" t="s">
        <v>35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4" width="18" customWidth="1"/>
  </cols>
  <sheetData>
    <row r="1" spans="1:4" s="1" customFormat="1" x14ac:dyDescent="0.25">
      <c r="A1" s="1" t="s">
        <v>36</v>
      </c>
      <c r="B1" s="1" t="s">
        <v>37</v>
      </c>
      <c r="C1" s="1" t="s">
        <v>38</v>
      </c>
      <c r="D1" s="1" t="s">
        <v>19</v>
      </c>
    </row>
    <row r="2" spans="1:4" x14ac:dyDescent="0.25">
      <c r="A2" t="s">
        <v>39</v>
      </c>
      <c r="B2" t="s">
        <v>40</v>
      </c>
      <c r="C2" t="s">
        <v>41</v>
      </c>
      <c r="D2" t="s">
        <v>23</v>
      </c>
    </row>
    <row r="3" spans="1:4" x14ac:dyDescent="0.25">
      <c r="A3" t="s">
        <v>39</v>
      </c>
      <c r="B3" t="s">
        <v>42</v>
      </c>
      <c r="C3" t="s">
        <v>43</v>
      </c>
      <c r="D3" t="s">
        <v>25</v>
      </c>
    </row>
    <row r="4" spans="1:4" x14ac:dyDescent="0.25">
      <c r="A4" t="s">
        <v>39</v>
      </c>
      <c r="B4" t="s">
        <v>44</v>
      </c>
      <c r="C4" t="s">
        <v>45</v>
      </c>
      <c r="D4" t="s">
        <v>27</v>
      </c>
    </row>
    <row r="5" spans="1:4" x14ac:dyDescent="0.25">
      <c r="A5" t="s">
        <v>39</v>
      </c>
      <c r="B5" t="s">
        <v>46</v>
      </c>
      <c r="C5" t="s">
        <v>47</v>
      </c>
      <c r="D5" t="s">
        <v>48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5" width="18" customWidth="1"/>
  </cols>
  <sheetData>
    <row r="1" spans="1:5" s="1" customFormat="1" x14ac:dyDescent="0.25">
      <c r="A1" s="1" t="s">
        <v>49</v>
      </c>
      <c r="B1" s="1" t="s">
        <v>50</v>
      </c>
      <c r="C1" s="1" t="s">
        <v>51</v>
      </c>
      <c r="D1" s="1" t="s">
        <v>52</v>
      </c>
      <c r="E1" s="1" t="s">
        <v>53</v>
      </c>
    </row>
    <row r="2" spans="1:5" x14ac:dyDescent="0.25">
      <c r="A2" t="s">
        <v>54</v>
      </c>
      <c r="B2" t="s">
        <v>55</v>
      </c>
      <c r="C2" t="s">
        <v>56</v>
      </c>
      <c r="D2" t="s">
        <v>57</v>
      </c>
      <c r="E2" t="s">
        <v>58</v>
      </c>
    </row>
    <row r="3" spans="1:5" x14ac:dyDescent="0.25">
      <c r="A3" t="s">
        <v>54</v>
      </c>
      <c r="B3" t="s">
        <v>55</v>
      </c>
      <c r="C3" t="s">
        <v>59</v>
      </c>
      <c r="D3" t="s">
        <v>57</v>
      </c>
      <c r="E3" t="s">
        <v>60</v>
      </c>
    </row>
    <row r="4" spans="1:5" x14ac:dyDescent="0.25">
      <c r="A4" t="s">
        <v>61</v>
      </c>
      <c r="B4" t="s">
        <v>62</v>
      </c>
      <c r="C4" t="s">
        <v>63</v>
      </c>
      <c r="D4" t="s">
        <v>64</v>
      </c>
      <c r="E4" t="s">
        <v>65</v>
      </c>
    </row>
    <row r="5" spans="1:5" x14ac:dyDescent="0.25">
      <c r="A5" t="s">
        <v>61</v>
      </c>
      <c r="B5" t="s">
        <v>62</v>
      </c>
      <c r="C5" t="s">
        <v>66</v>
      </c>
      <c r="D5" t="s">
        <v>64</v>
      </c>
      <c r="E5" t="s">
        <v>67</v>
      </c>
    </row>
    <row r="6" spans="1:5" x14ac:dyDescent="0.25">
      <c r="A6" t="s">
        <v>61</v>
      </c>
      <c r="B6" t="s">
        <v>62</v>
      </c>
      <c r="C6" t="s">
        <v>48</v>
      </c>
      <c r="D6" t="s">
        <v>64</v>
      </c>
      <c r="E6" t="s">
        <v>68</v>
      </c>
    </row>
    <row r="7" spans="1:5" x14ac:dyDescent="0.25">
      <c r="A7" t="s">
        <v>69</v>
      </c>
      <c r="B7" t="s">
        <v>70</v>
      </c>
      <c r="C7" t="s">
        <v>71</v>
      </c>
      <c r="D7" t="s">
        <v>72</v>
      </c>
      <c r="E7" t="s">
        <v>73</v>
      </c>
    </row>
    <row r="8" spans="1:5" x14ac:dyDescent="0.25">
      <c r="A8" t="s">
        <v>69</v>
      </c>
      <c r="B8" t="s">
        <v>70</v>
      </c>
      <c r="C8" t="s">
        <v>74</v>
      </c>
      <c r="D8" t="s">
        <v>72</v>
      </c>
      <c r="E8" t="s">
        <v>75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Executive Summary</vt:lpstr>
      <vt:lpstr>Reconciliation</vt:lpstr>
      <vt:lpstr>Assumptions</vt:lpstr>
      <vt:lpstr>Findings</vt:lpstr>
      <vt:lpstr>Source Trace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Redwood</dc:creator>
  <dc:title/>
  <dc:subject/>
  <dc:description/>
  <cp:keywords/>
  <cp:category/>
  <cp:lastModifiedBy>Unknown</cp:lastModifiedBy>
  <dcterms:created xsi:type="dcterms:W3CDTF">2026-09-24T11:32:51Z</dcterms:created>
  <dcterms:modified xsi:type="dcterms:W3CDTF">2026-09-24T11:32:51Z</dcterms:modified>
</cp:coreProperties>
</file>