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Collection Curve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<sst xmlns="http://schemas.openxmlformats.org/spreadsheetml/2006/main" count="169" uniqueCount="120">
  <si>
    <t>Redwood Quality of Revenue Databook</t>
  </si>
  <si>
    <t>Run ID</t>
  </si>
  <si>
    <t>HELDOUT-POST-IMPLEMENTATION</t>
  </si>
  <si>
    <t>Method</t>
  </si>
  <si>
    <t>redwood-physician-group-qor-draft-v0.1 0.1.0</t>
  </si>
  <si>
    <t>Metric</t>
  </si>
  <si>
    <t>Value</t>
  </si>
  <si>
    <t>Gross charge</t>
  </si>
  <si>
    <t>Allowed amount</t>
  </si>
  <si>
    <t>Observed cash</t>
  </si>
  <si>
    <t>Open A/R</t>
  </si>
  <si>
    <t>Expected remaining cash</t>
  </si>
  <si>
    <t>Realizable revenue</t>
  </si>
  <si>
    <t>Amount</t>
  </si>
  <si>
    <t>Cash event ID</t>
  </si>
  <si>
    <t>Claim ID</t>
  </si>
  <si>
    <t>Type</t>
  </si>
  <si>
    <t>Payment date</t>
  </si>
  <si>
    <t>Payer</t>
  </si>
  <si>
    <t>HO-P1</t>
  </si>
  <si>
    <t>HO-C1</t>
  </si>
  <si>
    <t>payer_payment</t>
  </si>
  <si>
    <t>2026-05-20</t>
  </si>
  <si>
    <t>Medicare</t>
  </si>
  <si>
    <t>HO-P2</t>
  </si>
  <si>
    <t>HO-C2</t>
  </si>
  <si>
    <t>2026-06-05</t>
  </si>
  <si>
    <t>Commercial</t>
  </si>
  <si>
    <t>HO-P3</t>
  </si>
  <si>
    <t/>
  </si>
  <si>
    <t>unapplied_cash</t>
  </si>
  <si>
    <t>2026-06-06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</si>
  <si>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</si>
  <si>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</si>
  <si>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</si>
  <si>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</si>
  <si>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</si>
  <si>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</si>
  <si>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</si>
  <si>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HO-C1:2026-06-30</t>
  </si>
  <si>
    <t>2026-06-30</t>
  </si>
  <si>
    <t>service_date</t>
  </si>
  <si>
    <t>31-60</t>
  </si>
  <si>
    <t>Active</t>
  </si>
  <si>
    <t>HO-C2:2026-06-30</t>
  </si>
  <si>
    <t>0-30</t>
  </si>
  <si>
    <t>Location</t>
  </si>
  <si>
    <t>HO-LOC-1</t>
  </si>
  <si>
    <t>HO-LOC-2</t>
  </si>
  <si>
    <t>Provider</t>
  </si>
  <si>
    <t>HO-PRV-A</t>
  </si>
  <si>
    <t>HO-PRV-B</t>
  </si>
  <si>
    <t>Service line</t>
  </si>
  <si>
    <t>Primary Care</t>
  </si>
  <si>
    <t>Imaging</t>
  </si>
  <si>
    <t>Configured recovery rate</t>
  </si>
  <si>
    <t>A/R balance</t>
  </si>
  <si>
    <t>Expected recovery</t>
  </si>
  <si>
    <t>61-90</t>
  </si>
  <si>
    <t>91-120</t>
  </si>
  <si>
    <t>121+</t>
  </si>
  <si>
    <t>Method profile</t>
  </si>
  <si>
    <t>redwood-physician-group-qor-draft-v0.1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</si>
  <si>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</si>
  <si>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</si>
  <si>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</si>
  <si>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</si>
  <si>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</si>
  <si>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</si>
  <si>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</si>
  <si>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Collection Curves!B2:B6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</si>
  <si>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</si>
  <si>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</si>
  <si>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</si>
  <si>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</si>
  <si>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</si>
  <si>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</si>
  <si>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</si>
  <si>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</si>
  <si>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</si>
  <si>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</si>
  <si>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</si>
  <si>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</si>
  <si>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5588ddcb074ab2156f742aac244a125b586524070362d1b2d5fad32262e3b8e6:2; 5588ddcb074ab2156f742aac244a125b586524070362d1b2d5fad32262e3b8e6:3; 5588ddcb074ab2156f742aac244a125b586524070362d1b2d5fad32262e3b8e6:4; 0517c636a3153d6b74fd82afb6b9c68e9d69e3043172207da49a92c86a8e04d4:2</t>
  </si>
  <si>
    <t>Matched cash to GL cash</t>
  </si>
  <si>
    <t>matched</t>
  </si>
  <si>
    <t>5588ddcb074ab2156f742aac244a125b586524070362d1b2d5fad32262e3b8e6:2; 5588ddcb074ab2156f742aac244a125b586524070362d1b2d5fad32262e3b8e6:3</t>
  </si>
  <si>
    <t>A/R snapshot to GL A/R</t>
  </si>
  <si>
    <t>a038c1755666c6831eaf5699126f4a9136b756d6c7261068ab879cef0a5f1220:2; a038c1755666c6831eaf5699126f4a9136b756d6c7261068ab879cef0a5f1220:3; 0517c636a3153d6b74fd82afb6b9c68e9d69e3043172207da49a92c86a8e04d4:2</t>
  </si>
  <si>
    <t>Status</t>
  </si>
  <si>
    <t>Title</t>
  </si>
  <si>
    <t>Detail</t>
  </si>
  <si>
    <t>open</t>
  </si>
  <si>
    <t>All cash to GL cash difference</t>
  </si>
  <si>
    <t>Difference remains visible: 750 cents. Professional materiality is unset.</t>
  </si>
  <si>
    <t>Unmatched cash</t>
  </si>
  <si>
    <t>750 cents is not linked to a canonical claim; no balancing entry was made.</t>
  </si>
  <si>
    <t>5588ddcb074ab2156f742aac244a125b586524070362d1b2d5fad32262e3b8e6:4</t>
  </si>
  <si>
    <t>Source file</t>
  </si>
  <si>
    <t>File hash</t>
  </si>
  <si>
    <t>Source row</t>
  </si>
  <si>
    <t>Record type</t>
  </si>
  <si>
    <t>Record ID</t>
  </si>
  <si>
    <t>source_claims.csv</t>
  </si>
  <si>
    <t>1ead0e4db5c36cdbf4d4a15f6dbac45158ae7ffb7276b8d4c612eb77892bfd76</t>
  </si>
  <si>
    <t>1ead0e4db5c36cdbf4d4a15f6dbac45158ae7ffb7276b8d4c612eb77892bfd76:2</t>
  </si>
  <si>
    <t>Claim</t>
  </si>
  <si>
    <t>HO-C1:v1</t>
  </si>
  <si>
    <t>1ead0e4db5c36cdbf4d4a15f6dbac45158ae7ffb7276b8d4c612eb77892bfd76:3</t>
  </si>
  <si>
    <t>HO-C2:v1</t>
  </si>
  <si>
    <t>source_payments.csv</t>
  </si>
  <si>
    <t>5588ddcb074ab2156f742aac244a125b586524070362d1b2d5fad32262e3b8e6</t>
  </si>
  <si>
    <t>5588ddcb074ab2156f742aac244a125b586524070362d1b2d5fad32262e3b8e6:2</t>
  </si>
  <si>
    <t>CashEvent</t>
  </si>
  <si>
    <t>5588ddcb074ab2156f742aac244a125b586524070362d1b2d5fad32262e3b8e6:3</t>
  </si>
  <si>
    <t>source_ar.csv</t>
  </si>
  <si>
    <t>a038c1755666c6831eaf5699126f4a9136b756d6c7261068ab879cef0a5f1220</t>
  </si>
  <si>
    <t>a038c1755666c6831eaf5699126f4a9136b756d6c7261068ab879cef0a5f1220:2</t>
  </si>
  <si>
    <t>Receivable</t>
  </si>
  <si>
    <t>a038c1755666c6831eaf5699126f4a9136b756d6c7261068ab879cef0a5f1220:3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</si>
</sst>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701</v>
      </c>
    </row>
    <row r="7" spans="1:2" x14ac:dyDescent="0.25">
      <c r="A7" t="s">
        <v>8</v>
      </c>
      <c r="B7" s="1">
        <v>510</v>
      </c>
    </row>
    <row r="8" spans="1:2" x14ac:dyDescent="0.25">
      <c r="A8" t="s">
        <v>9</v>
      </c>
      <c r="B8" s="1">
        <v>432.5</v>
      </c>
    </row>
    <row r="9" spans="1:2" x14ac:dyDescent="0.25">
      <c r="A9" t="s">
        <v>10</v>
      </c>
      <c r="B9" s="1">
        <v>85</v>
      </c>
    </row>
    <row r="10" spans="1:2" x14ac:dyDescent="0.25">
      <c r="A10" t="s">
        <v>11</v>
      </c>
      <c r="B10" s="1">
        <f>SUM('Collection Curves'!D2:D6)</f>
      </c>
    </row>
    <row r="11" spans="1:2" x14ac:dyDescent="0.25">
      <c r="A11" t="s">
        <v>12</v>
      </c>
      <c r="B11" s="1">
        <f>B8+B10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13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9</v>
      </c>
      <c r="B4" s="1">
        <f>'Executive Summary'!B8</f>
      </c>
    </row>
    <row r="5" spans="1:2" x14ac:dyDescent="0.25">
      <c r="A5" t="s">
        <v>11</v>
      </c>
      <c r="B5" s="1">
        <f>'Executive Summary'!B10</f>
      </c>
    </row>
    <row r="6" spans="1:2" x14ac:dyDescent="0.25">
      <c r="A6" t="s">
        <v>12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3" t="s">
        <v>13</v>
      </c>
    </row>
    <row r="2" spans="1:6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s="1">
        <v>250</v>
      </c>
    </row>
    <row r="3" spans="1:6" x14ac:dyDescent="0.25">
      <c r="A3" t="s">
        <v>24</v>
      </c>
      <c r="B3" t="s">
        <v>25</v>
      </c>
      <c r="C3" t="s">
        <v>21</v>
      </c>
      <c r="D3" t="s">
        <v>26</v>
      </c>
      <c r="E3" t="s">
        <v>27</v>
      </c>
      <c r="F3" s="1">
        <v>175</v>
      </c>
    </row>
    <row r="4" spans="1:6" x14ac:dyDescent="0.25">
      <c r="A4" t="s">
        <v>28</v>
      </c>
      <c r="B4" t="s">
        <v>29</v>
      </c>
      <c r="C4" t="s">
        <v>30</v>
      </c>
      <c r="D4" t="s">
        <v>31</v>
      </c>
      <c r="E4" t="s">
        <v>32</v>
      </c>
      <c r="F4" s="1">
        <v>7.5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33</v>
      </c>
      <c r="B1" s="2" t="s">
        <v>34</v>
      </c>
      <c r="C1" s="2" t="s">
        <v>15</v>
      </c>
      <c r="D1" s="2" t="s">
        <v>35</v>
      </c>
      <c r="E1" s="2" t="s">
        <v>36</v>
      </c>
      <c r="F1" s="3" t="s">
        <v>37</v>
      </c>
      <c r="G1" s="2" t="s">
        <v>38</v>
      </c>
    </row>
    <row r="2" spans="1:7" x14ac:dyDescent="0.25">
      <c r="A2" t="s">
        <v>39</v>
      </c>
      <c r="B2" t="s">
        <v>40</v>
      </c>
      <c r="C2" t="s">
        <v>20</v>
      </c>
      <c r="D2" t="s">
        <v>41</v>
      </c>
      <c r="E2" t="s">
        <v>42</v>
      </c>
      <c r="F2" s="1">
        <v>50</v>
      </c>
      <c r="G2" t="s">
        <v>43</v>
      </c>
    </row>
    <row r="3" spans="1:7" x14ac:dyDescent="0.25">
      <c r="A3" t="s">
        <v>44</v>
      </c>
      <c r="B3" t="s">
        <v>40</v>
      </c>
      <c r="C3" t="s">
        <v>25</v>
      </c>
      <c r="D3" t="s">
        <v>41</v>
      </c>
      <c r="E3" t="s">
        <v>45</v>
      </c>
      <c r="F3" s="1">
        <v>35</v>
      </c>
      <c r="G3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18</v>
      </c>
      <c r="B1" s="3" t="s">
        <v>9</v>
      </c>
    </row>
    <row r="2" spans="1:2" x14ac:dyDescent="0.25">
      <c r="A2" t="s">
        <v>23</v>
      </c>
      <c r="B2" s="1">
        <v>250</v>
      </c>
    </row>
    <row r="3" spans="1:2" x14ac:dyDescent="0.25">
      <c r="A3" t="s">
        <v>27</v>
      </c>
      <c r="B3" s="1">
        <v>175</v>
      </c>
    </row>
    <row r="4" spans="1:2" x14ac:dyDescent="0.25">
      <c r="A4" t="s">
        <v>32</v>
      </c>
      <c r="B4" s="1">
        <v>7.5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46</v>
      </c>
      <c r="B1" s="3" t="s">
        <v>7</v>
      </c>
    </row>
    <row r="2" spans="1:2" x14ac:dyDescent="0.25">
      <c r="A2" t="s">
        <v>47</v>
      </c>
      <c r="B2" s="1">
        <v>411.23</v>
      </c>
    </row>
    <row r="3" spans="1:2" x14ac:dyDescent="0.25">
      <c r="A3" t="s">
        <v>48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49</v>
      </c>
      <c r="B1" s="3" t="s">
        <v>7</v>
      </c>
    </row>
    <row r="2" spans="1:2" x14ac:dyDescent="0.25">
      <c r="A2" t="s">
        <v>50</v>
      </c>
      <c r="B2" s="1">
        <v>411.23</v>
      </c>
    </row>
    <row r="3" spans="1:2" x14ac:dyDescent="0.25">
      <c r="A3" t="s">
        <v>51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52</v>
      </c>
      <c r="B1" s="3" t="s">
        <v>7</v>
      </c>
    </row>
    <row r="2" spans="1:2" x14ac:dyDescent="0.25">
      <c r="A2" t="s">
        <v>53</v>
      </c>
      <c r="B2" s="1">
        <v>411.23</v>
      </c>
    </row>
    <row r="3" spans="1:2" x14ac:dyDescent="0.25">
      <c r="A3" t="s">
        <v>54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36</v>
      </c>
      <c r="B1" s="5" t="s">
        <v>55</v>
      </c>
      <c r="C1" s="3" t="s">
        <v>56</v>
      </c>
      <c r="D1" s="3" t="s">
        <v>57</v>
      </c>
    </row>
    <row r="2" spans="1:4" x14ac:dyDescent="0.25">
      <c r="A2" t="s">
        <v>45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42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58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59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60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61</v>
      </c>
      <c r="B1" s="2" t="s">
        <v>62</v>
      </c>
    </row>
    <row r="2" spans="1:2" x14ac:dyDescent="0.25">
      <c r="A2" t="s">
        <v>63</v>
      </c>
      <c r="B2" t="s">
        <v>64</v>
      </c>
    </row>
    <row r="3" spans="1:2" x14ac:dyDescent="0.25">
      <c r="A3" t="s">
        <v>65</v>
      </c>
      <c r="B3" t="s">
        <v>66</v>
      </c>
    </row>
    <row r="4" spans="1:2" x14ac:dyDescent="0.25">
      <c r="A4" t="s">
        <v>67</v>
      </c>
      <c r="B4" t="s">
        <v>68</v>
      </c>
    </row>
    <row r="5" spans="1:2" x14ac:dyDescent="0.25">
      <c r="A5" t="s">
        <v>69</v>
      </c>
      <c r="B5" t="s">
        <v>70</v>
      </c>
    </row>
    <row r="6" spans="1:2" x14ac:dyDescent="0.25">
      <c r="A6" t="s">
        <v>71</v>
      </c>
      <c r="B6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73</v>
      </c>
      <c r="B1" s="3" t="s">
        <v>74</v>
      </c>
      <c r="C1" s="3" t="s">
        <v>75</v>
      </c>
      <c r="D1" s="3" t="s">
        <v>76</v>
      </c>
      <c r="E1" s="2" t="s">
        <v>77</v>
      </c>
      <c r="F1" s="2" t="s">
        <v>78</v>
      </c>
      <c r="G1" s="2" t="s">
        <v>79</v>
      </c>
    </row>
    <row r="2" spans="1:7" x14ac:dyDescent="0.25">
      <c r="A2" t="s">
        <v>80</v>
      </c>
      <c r="B2" s="1">
        <v>432.5</v>
      </c>
      <c r="C2" s="1">
        <v>425</v>
      </c>
      <c r="D2" s="1">
        <f>B2-C2</f>
      </c>
      <c r="E2" t="s">
        <v>81</v>
      </c>
      <c r="F2" t="s">
        <v>82</v>
      </c>
      <c r="G2" t="s">
        <v>83</v>
      </c>
    </row>
    <row r="3" spans="1:7" x14ac:dyDescent="0.25">
      <c r="A3" t="s">
        <v>84</v>
      </c>
      <c r="B3" s="1">
        <v>425</v>
      </c>
      <c r="C3" s="1">
        <v>425</v>
      </c>
      <c r="D3" s="1">
        <f>B3-C3</f>
      </c>
      <c r="E3" t="s">
        <v>85</v>
      </c>
      <c r="F3" t="s">
        <v>82</v>
      </c>
      <c r="G3" t="s">
        <v>86</v>
      </c>
    </row>
    <row r="4" spans="1:7" x14ac:dyDescent="0.25">
      <c r="A4" t="s">
        <v>87</v>
      </c>
      <c r="B4" s="1">
        <v>85</v>
      </c>
      <c r="C4" s="1">
        <v>85</v>
      </c>
      <c r="D4" s="1">
        <f>B4-C4</f>
      </c>
      <c r="E4" t="s">
        <v>85</v>
      </c>
      <c r="F4" t="s">
        <v>82</v>
      </c>
      <c r="G4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89</v>
      </c>
      <c r="B1" s="2" t="s">
        <v>90</v>
      </c>
      <c r="C1" s="2" t="s">
        <v>91</v>
      </c>
      <c r="D1" s="2" t="s">
        <v>79</v>
      </c>
    </row>
    <row r="2" spans="1:4" x14ac:dyDescent="0.25">
      <c r="A2" t="s">
        <v>92</v>
      </c>
      <c r="B2" t="s">
        <v>93</v>
      </c>
      <c r="C2" t="s">
        <v>94</v>
      </c>
      <c r="D2" t="s">
        <v>83</v>
      </c>
    </row>
    <row r="3" spans="1:4" x14ac:dyDescent="0.25">
      <c r="A3" t="s">
        <v>92</v>
      </c>
      <c r="B3" t="s">
        <v>95</v>
      </c>
      <c r="C3" t="s">
        <v>96</v>
      </c>
      <c r="D3" t="s">
        <v>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98</v>
      </c>
      <c r="B1" s="2" t="s">
        <v>99</v>
      </c>
      <c r="C1" s="2" t="s">
        <v>100</v>
      </c>
      <c r="D1" s="2" t="s">
        <v>101</v>
      </c>
      <c r="E1" s="2" t="s">
        <v>102</v>
      </c>
    </row>
    <row r="2" spans="1:5" x14ac:dyDescent="0.25">
      <c r="A2" t="s">
        <v>103</v>
      </c>
      <c r="B2" t="s">
        <v>104</v>
      </c>
      <c r="C2" t="s">
        <v>105</v>
      </c>
      <c r="D2" t="s">
        <v>106</v>
      </c>
      <c r="E2" t="s">
        <v>107</v>
      </c>
    </row>
    <row r="3" spans="1:5" x14ac:dyDescent="0.25">
      <c r="A3" t="s">
        <v>103</v>
      </c>
      <c r="B3" t="s">
        <v>104</v>
      </c>
      <c r="C3" t="s">
        <v>108</v>
      </c>
      <c r="D3" t="s">
        <v>106</v>
      </c>
      <c r="E3" t="s">
        <v>109</v>
      </c>
    </row>
    <row r="4" spans="1:5" x14ac:dyDescent="0.25">
      <c r="A4" t="s">
        <v>110</v>
      </c>
      <c r="B4" t="s">
        <v>111</v>
      </c>
      <c r="C4" t="s">
        <v>112</v>
      </c>
      <c r="D4" t="s">
        <v>113</v>
      </c>
      <c r="E4" t="s">
        <v>19</v>
      </c>
    </row>
    <row r="5" spans="1:5" x14ac:dyDescent="0.25">
      <c r="A5" t="s">
        <v>110</v>
      </c>
      <c r="B5" t="s">
        <v>111</v>
      </c>
      <c r="C5" t="s">
        <v>114</v>
      </c>
      <c r="D5" t="s">
        <v>113</v>
      </c>
      <c r="E5" t="s">
        <v>24</v>
      </c>
    </row>
    <row r="6" spans="1:5" x14ac:dyDescent="0.25">
      <c r="A6" t="s">
        <v>110</v>
      </c>
      <c r="B6" t="s">
        <v>111</v>
      </c>
      <c r="C6" t="s">
        <v>97</v>
      </c>
      <c r="D6" t="s">
        <v>113</v>
      </c>
      <c r="E6" t="s">
        <v>28</v>
      </c>
    </row>
    <row r="7" spans="1:5" x14ac:dyDescent="0.25">
      <c r="A7" t="s">
        <v>115</v>
      </c>
      <c r="B7" t="s">
        <v>116</v>
      </c>
      <c r="C7" t="s">
        <v>117</v>
      </c>
      <c r="D7" t="s">
        <v>118</v>
      </c>
      <c r="E7" t="s">
        <v>39</v>
      </c>
    </row>
    <row r="8" spans="1:5" x14ac:dyDescent="0.25">
      <c r="A8" t="s">
        <v>115</v>
      </c>
      <c r="B8" t="s">
        <v>116</v>
      </c>
      <c r="C8" t="s">
        <v>119</v>
      </c>
      <c r="D8" t="s">
        <v>118</v>
      </c>
      <c r="E8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Collection Curves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2026-09-24T11:52:10Z</dcterms:created>
  <dcterms:modified xsi:type="dcterms:W3CDTF">2026-09-24T11:52:10Z</dcterms:modified>
</cp:coreProperties>
</file>