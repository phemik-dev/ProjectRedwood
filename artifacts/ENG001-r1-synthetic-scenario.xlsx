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Recovery Analysi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<sst xmlns="http://schemas.openxmlformats.org/spreadsheetml/2006/main" count="184" uniqueCount="131">
  <si>
    <t>Redwood Quality of Revenue Databook</t>
  </si>
  <si>
    <t>Run ID</t>
  </si>
  <si>
    <t>ENG001-demo</t>
  </si>
  <si>
    <t>Method</t>
  </si>
  <si>
    <t>synthetic-demo-scenario-v0.1 0.1.0</t>
  </si>
  <si>
    <t>Metric</t>
  </si>
  <si>
    <t>Value</t>
  </si>
  <si>
    <t>Gross charge</t>
  </si>
  <si>
    <t>Allowed amount</t>
  </si>
  <si>
    <t>All cash</t>
  </si>
  <si>
    <t>Allocated collections</t>
  </si>
  <si>
    <t>Unapplied cash</t>
  </si>
  <si>
    <t>Subsequent cash</t>
  </si>
  <si>
    <t>Open A/R</t>
  </si>
  <si>
    <t>Expected remaining cash</t>
  </si>
  <si>
    <t>Realizable revenue</t>
  </si>
  <si>
    <t>Amount</t>
  </si>
  <si>
    <t>Observed cash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</si>
  <si>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</si>
  <si>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</si>
  <si>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</si>
  <si>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</si>
  <si>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</si>
  <si>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</si>
  <si>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</si>
  <si>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</si>
  <si>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</si>
  <si>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</si>
  <si>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</si>
  <si>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</si>
  <si>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</si>
  <si>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</si>
  <si>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</si>
  <si>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</si>
  <si>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</si>
  <si>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</si>
  <si>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</si>
  <si>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</si>
  <si>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</si>
  <si>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</si>
  <si>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</si>
  <si>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</si>
  <si>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</si>
  <si>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</si>
  <si>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</si>
  <si>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</si>
  <si>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</si>
  <si>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</si>
  <si>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</si>
  <si>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</si>
  <si>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</si>
  <si>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</si>
  <si>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</si>
  <si>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</si>
  <si>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</si>
  <si>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</si>
  <si>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</si>
  <si>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</si>
  <si>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</si>
  <si>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</si>
  <si>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</si>
  <si>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</si>
  <si>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</si>
  <si>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</si>
  <si>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</si>
  <si>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</si>
  <si>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</si>
  <si>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</si>
  <si>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</si>
  <si>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</si>
  <si>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</si>
  <si>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</si>
  <si>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</si>
  <si>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Recovery Analysis!B2:B6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</si>
  <si>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</si>
  <si>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</si>
  <si>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</si>
  <si>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</si>
  <si>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</si>
  <si>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</si>
  <si>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</si>
  <si>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</si>
  <si>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</si>
  <si>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</si>
  <si>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</si>
  <si>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</si>
  <si>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</si>
  <si>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</si>
  <si>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</si>
  <si>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</si>
  <si>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</si>
  <si>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</si>
  <si>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</si>
  <si>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</si>
  <si>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</si>
  <si>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</si>
  <si>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</si>
  <si>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</si>
  <si>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</si>
  <si>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</si>
  <si>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</si>
  <si>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</si>
  <si>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</si>
  <si>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</si>
  <si>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</si>
  <si>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</si>
  <si>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</si>
  <si>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</si>
  <si>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</si>
  <si>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</si>
  <si>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</si>
  <si>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</si>
  <si>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</si>
  <si>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</si>
  <si>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</si>
  <si>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</si>
  <si>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</si>
  <si>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</si>
  <si>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</si>
  <si>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</si>
  <si>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</si>
  <si>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</si>
  <si>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</si>
  <si>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</si>
  <si>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</si>
  <si>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</si>
  <si>
    <t>general_ledger.csv</t>
  </si>
  <si>
    <t>45aed22e980cb357ba709f0da96d3a033b7669da1e9ce3bff1fa9ef88da1044e</t>
  </si>
  <si>
    <t>45aed22e980cb357ba709f0da96d3a033b7669da1e9ce3bff1fa9ef88da1044e:2</t>
  </si>
  <si>
    <t>GLRecord</t>
  </si>
  <si>
    <t>ENG001-GL-202606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</si>
</sst>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53205.59</v>
      </c>
    </row>
    <row r="10" spans="1:2" x14ac:dyDescent="0.25">
      <c r="A10" t="s">
        <v>11</v>
      </c>
      <c r="B10" s="1">
        <v>321.45</v>
      </c>
    </row>
    <row r="11" spans="1:2" x14ac:dyDescent="0.25">
      <c r="A11" t="s">
        <v>12</v>
      </c>
      <c r="B11" s="1">
        <v>0</v>
      </c>
    </row>
    <row r="12" spans="1:2" x14ac:dyDescent="0.25">
      <c r="A12" t="s">
        <v>13</v>
      </c>
      <c r="B12" s="1">
        <v>15911.29</v>
      </c>
    </row>
    <row r="13" spans="1:2" x14ac:dyDescent="0.25">
      <c r="A13" t="s">
        <v>14</v>
      </c>
      <c r="B13" s="1">
        <f>SUM('Recovery Analysis'!D2:D6)</f>
      </c>
    </row>
    <row r="14" spans="1:2" x14ac:dyDescent="0.25">
      <c r="A14" t="s">
        <v>15</v>
      </c>
      <c r="B14" s="1">
        <f>B9+B13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16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17</v>
      </c>
      <c r="B4" s="1">
        <f>'Executive Summary'!B9</f>
      </c>
    </row>
    <row r="5" spans="1:2" x14ac:dyDescent="0.25">
      <c r="A5" t="s">
        <v>14</v>
      </c>
      <c r="B5" s="1">
        <f>'Executive Summary'!B13</f>
      </c>
    </row>
    <row r="6" spans="1:2" x14ac:dyDescent="0.25">
      <c r="A6" t="s">
        <v>15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3" t="s">
        <v>16</v>
      </c>
    </row>
    <row r="2" spans="1:6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1">
        <v>50000</v>
      </c>
    </row>
    <row r="3" spans="1:6" x14ac:dyDescent="0.25">
      <c r="A3" t="s">
        <v>28</v>
      </c>
      <c r="B3" t="s">
        <v>29</v>
      </c>
      <c r="C3" t="s">
        <v>25</v>
      </c>
      <c r="D3" t="s">
        <v>30</v>
      </c>
      <c r="E3" t="s">
        <v>31</v>
      </c>
      <c r="F3" s="1">
        <v>3205.59</v>
      </c>
    </row>
    <row r="4" spans="1:6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37</v>
      </c>
      <c r="B1" s="2" t="s">
        <v>38</v>
      </c>
      <c r="C1" s="2" t="s">
        <v>19</v>
      </c>
      <c r="D1" s="2" t="s">
        <v>39</v>
      </c>
      <c r="E1" s="2" t="s">
        <v>40</v>
      </c>
      <c r="F1" s="3" t="s">
        <v>41</v>
      </c>
      <c r="G1" s="2" t="s">
        <v>42</v>
      </c>
    </row>
    <row r="2" spans="1:7" x14ac:dyDescent="0.25">
      <c r="A2" t="s">
        <v>43</v>
      </c>
      <c r="B2" t="s">
        <v>35</v>
      </c>
      <c r="C2" t="s">
        <v>24</v>
      </c>
      <c r="D2" t="s">
        <v>44</v>
      </c>
      <c r="E2" t="s">
        <v>45</v>
      </c>
      <c r="F2" s="1">
        <v>6889.77</v>
      </c>
      <c r="G2" t="s">
        <v>46</v>
      </c>
    </row>
    <row r="3" spans="1:7" x14ac:dyDescent="0.25">
      <c r="A3" t="s">
        <v>47</v>
      </c>
      <c r="B3" t="s">
        <v>35</v>
      </c>
      <c r="C3" t="s">
        <v>29</v>
      </c>
      <c r="D3" t="s">
        <v>44</v>
      </c>
      <c r="E3" t="s">
        <v>48</v>
      </c>
      <c r="F3" s="1">
        <v>9021.52</v>
      </c>
      <c r="G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22</v>
      </c>
      <c r="B1" s="3" t="s">
        <v>17</v>
      </c>
    </row>
    <row r="2" spans="1:2" x14ac:dyDescent="0.25">
      <c r="A2" t="s">
        <v>27</v>
      </c>
      <c r="B2" s="1">
        <v>50000</v>
      </c>
    </row>
    <row r="3" spans="1:2" x14ac:dyDescent="0.25">
      <c r="A3" t="s">
        <v>31</v>
      </c>
      <c r="B3" s="1">
        <v>3205.59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49</v>
      </c>
      <c r="B1" s="3" t="s">
        <v>7</v>
      </c>
    </row>
    <row r="2" spans="1:2" x14ac:dyDescent="0.25">
      <c r="A2" t="s">
        <v>50</v>
      </c>
      <c r="B2" s="1">
        <v>60000</v>
      </c>
    </row>
    <row r="3" spans="1:2" x14ac:dyDescent="0.25">
      <c r="A3" t="s">
        <v>51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52</v>
      </c>
      <c r="B1" s="3" t="s">
        <v>7</v>
      </c>
    </row>
    <row r="2" spans="1:2" x14ac:dyDescent="0.25">
      <c r="A2" t="s">
        <v>53</v>
      </c>
      <c r="B2" s="1">
        <v>60000</v>
      </c>
    </row>
    <row r="3" spans="1:2" x14ac:dyDescent="0.25">
      <c r="A3" t="s">
        <v>54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55</v>
      </c>
      <c r="B1" s="3" t="s">
        <v>7</v>
      </c>
    </row>
    <row r="2" spans="1:2" x14ac:dyDescent="0.25">
      <c r="A2" t="s">
        <v>56</v>
      </c>
      <c r="B2" s="1">
        <v>60000</v>
      </c>
    </row>
    <row r="3" spans="1:2" x14ac:dyDescent="0.25">
      <c r="A3" t="s">
        <v>57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40</v>
      </c>
      <c r="B1" s="5" t="s">
        <v>58</v>
      </c>
      <c r="C1" s="3" t="s">
        <v>59</v>
      </c>
      <c r="D1" s="3" t="s">
        <v>60</v>
      </c>
    </row>
    <row r="2" spans="1:4" x14ac:dyDescent="0.25">
      <c r="A2" t="s">
        <v>45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61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62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63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48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64</v>
      </c>
      <c r="B1" s="2" t="s">
        <v>65</v>
      </c>
    </row>
    <row r="2" spans="1:2" x14ac:dyDescent="0.25">
      <c r="A2" t="s">
        <v>66</v>
      </c>
      <c r="B2" t="s">
        <v>67</v>
      </c>
    </row>
    <row r="3" spans="1:2" x14ac:dyDescent="0.25">
      <c r="A3" t="s">
        <v>68</v>
      </c>
      <c r="B3" t="s">
        <v>69</v>
      </c>
    </row>
    <row r="4" spans="1:2" x14ac:dyDescent="0.25">
      <c r="A4" t="s">
        <v>70</v>
      </c>
      <c r="B4" t="s">
        <v>71</v>
      </c>
    </row>
    <row r="5" spans="1:2" x14ac:dyDescent="0.25">
      <c r="A5" t="s">
        <v>72</v>
      </c>
      <c r="B5" t="s">
        <v>73</v>
      </c>
    </row>
    <row r="6" spans="1:2" x14ac:dyDescent="0.25">
      <c r="A6" t="s">
        <v>74</v>
      </c>
      <c r="B6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76</v>
      </c>
      <c r="B1" s="3" t="s">
        <v>77</v>
      </c>
      <c r="C1" s="3" t="s">
        <v>78</v>
      </c>
      <c r="D1" s="3" t="s">
        <v>79</v>
      </c>
      <c r="E1" s="2" t="s">
        <v>80</v>
      </c>
      <c r="F1" s="2" t="s">
        <v>81</v>
      </c>
      <c r="G1" s="2" t="s">
        <v>82</v>
      </c>
    </row>
    <row r="2" spans="1:7" x14ac:dyDescent="0.25">
      <c r="A2" t="s">
        <v>83</v>
      </c>
      <c r="B2" s="1">
        <v>53527.04</v>
      </c>
      <c r="C2" s="1">
        <v>52777.04</v>
      </c>
      <c r="D2" s="1">
        <f>B2-C2</f>
      </c>
      <c r="E2" t="s">
        <v>84</v>
      </c>
      <c r="F2" t="s">
        <v>85</v>
      </c>
      <c r="G2" t="s">
        <v>86</v>
      </c>
    </row>
    <row r="3" spans="1:7" x14ac:dyDescent="0.25">
      <c r="A3" t="s">
        <v>87</v>
      </c>
      <c r="B3" s="1">
        <v>53205.59</v>
      </c>
      <c r="C3" s="1">
        <v>52134.14</v>
      </c>
      <c r="D3" s="1">
        <f>B3-C3</f>
      </c>
      <c r="E3" t="s">
        <v>84</v>
      </c>
      <c r="F3" t="s">
        <v>85</v>
      </c>
      <c r="G3" t="s">
        <v>88</v>
      </c>
    </row>
    <row r="4" spans="1:7" x14ac:dyDescent="0.25">
      <c r="A4" t="s">
        <v>89</v>
      </c>
      <c r="B4" s="1">
        <v>15911.29</v>
      </c>
      <c r="C4" s="1">
        <v>14506.28</v>
      </c>
      <c r="D4" s="1">
        <f>B4-C4</f>
      </c>
      <c r="E4" t="s">
        <v>84</v>
      </c>
      <c r="F4" t="s">
        <v>85</v>
      </c>
      <c r="G4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91</v>
      </c>
      <c r="B1" s="2" t="s">
        <v>92</v>
      </c>
      <c r="C1" s="2" t="s">
        <v>93</v>
      </c>
      <c r="D1" s="2" t="s">
        <v>82</v>
      </c>
    </row>
    <row r="2" spans="1:4" x14ac:dyDescent="0.25">
      <c r="A2" t="s">
        <v>94</v>
      </c>
      <c r="B2" t="s">
        <v>95</v>
      </c>
      <c r="C2" t="s">
        <v>96</v>
      </c>
      <c r="D2" t="s">
        <v>86</v>
      </c>
    </row>
    <row r="3" spans="1:4" x14ac:dyDescent="0.25">
      <c r="A3" t="s">
        <v>94</v>
      </c>
      <c r="B3" t="s">
        <v>97</v>
      </c>
      <c r="C3" t="s">
        <v>98</v>
      </c>
      <c r="D3" t="s">
        <v>88</v>
      </c>
    </row>
    <row r="4" spans="1:4" x14ac:dyDescent="0.25">
      <c r="A4" t="s">
        <v>94</v>
      </c>
      <c r="B4" t="s">
        <v>99</v>
      </c>
      <c r="C4" t="s">
        <v>100</v>
      </c>
      <c r="D4" t="s">
        <v>90</v>
      </c>
    </row>
    <row r="5" spans="1:4" x14ac:dyDescent="0.25">
      <c r="A5" t="s">
        <v>94</v>
      </c>
      <c r="B5" t="s">
        <v>101</v>
      </c>
      <c r="C5" t="s">
        <v>102</v>
      </c>
      <c r="D5" t="s">
        <v>103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</row>
    <row r="2" spans="1:5" x14ac:dyDescent="0.25">
      <c r="A2" t="s">
        <v>109</v>
      </c>
      <c r="B2" t="s">
        <v>110</v>
      </c>
      <c r="C2" t="s">
        <v>111</v>
      </c>
      <c r="D2" t="s">
        <v>112</v>
      </c>
      <c r="E2" t="s">
        <v>113</v>
      </c>
    </row>
    <row r="3" spans="1:5" x14ac:dyDescent="0.25">
      <c r="A3" t="s">
        <v>109</v>
      </c>
      <c r="B3" t="s">
        <v>110</v>
      </c>
      <c r="C3" t="s">
        <v>114</v>
      </c>
      <c r="D3" t="s">
        <v>112</v>
      </c>
      <c r="E3" t="s">
        <v>115</v>
      </c>
    </row>
    <row r="4" spans="1:5" x14ac:dyDescent="0.25">
      <c r="A4" t="s">
        <v>116</v>
      </c>
      <c r="B4" t="s">
        <v>117</v>
      </c>
      <c r="C4" t="s">
        <v>118</v>
      </c>
      <c r="D4" t="s">
        <v>119</v>
      </c>
      <c r="E4" t="s">
        <v>23</v>
      </c>
    </row>
    <row r="5" spans="1:5" x14ac:dyDescent="0.25">
      <c r="A5" t="s">
        <v>116</v>
      </c>
      <c r="B5" t="s">
        <v>117</v>
      </c>
      <c r="C5" t="s">
        <v>120</v>
      </c>
      <c r="D5" t="s">
        <v>119</v>
      </c>
      <c r="E5" t="s">
        <v>28</v>
      </c>
    </row>
    <row r="6" spans="1:5" x14ac:dyDescent="0.25">
      <c r="A6" t="s">
        <v>116</v>
      </c>
      <c r="B6" t="s">
        <v>117</v>
      </c>
      <c r="C6" t="s">
        <v>103</v>
      </c>
      <c r="D6" t="s">
        <v>119</v>
      </c>
      <c r="E6" t="s">
        <v>32</v>
      </c>
    </row>
    <row r="7" spans="1:5" x14ac:dyDescent="0.25">
      <c r="A7" t="s">
        <v>121</v>
      </c>
      <c r="B7" t="s">
        <v>122</v>
      </c>
      <c r="C7" t="s">
        <v>123</v>
      </c>
      <c r="D7" t="s">
        <v>124</v>
      </c>
      <c r="E7" t="s">
        <v>43</v>
      </c>
    </row>
    <row r="8" spans="1:5" x14ac:dyDescent="0.25">
      <c r="A8" t="s">
        <v>121</v>
      </c>
      <c r="B8" t="s">
        <v>122</v>
      </c>
      <c r="C8" t="s">
        <v>125</v>
      </c>
      <c r="D8" t="s">
        <v>124</v>
      </c>
      <c r="E8" t="s">
        <v>47</v>
      </c>
    </row>
    <row r="9" spans="1:5" x14ac:dyDescent="0.25">
      <c r="A9" t="s">
        <v>126</v>
      </c>
      <c r="B9" t="s">
        <v>127</v>
      </c>
      <c r="C9" t="s">
        <v>128</v>
      </c>
      <c r="D9" t="s">
        <v>129</v>
      </c>
      <c r="E9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Recovery Analysis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2026-09-25T10:20:39Z</dcterms:created>
  <dcterms:modified xsi:type="dcterms:W3CDTF">2026-09-25T10:20:39Z</dcterms:modified>
</cp:coreProperties>
</file>