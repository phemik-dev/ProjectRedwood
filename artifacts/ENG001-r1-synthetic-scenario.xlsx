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Collection Curve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<sst xmlns="http://schemas.openxmlformats.org/spreadsheetml/2006/main" count="176" uniqueCount="122">
  <si>
    <t>Redwood Quality of Revenue Databook</t>
  </si>
  <si>
    <t>Run ID</t>
  </si>
  <si>
    <t>ENG001-demo</t>
  </si>
  <si>
    <t>Method</t>
  </si>
  <si>
    <t>synthetic-demo-scenario-v0.1 0.1.0</t>
  </si>
  <si>
    <t>Metric</t>
  </si>
  <si>
    <t>Value</t>
  </si>
  <si>
    <t>Gross charge</t>
  </si>
  <si>
    <t>Allowed amount</t>
  </si>
  <si>
    <t>Observed cash</t>
  </si>
  <si>
    <t>Open A/R</t>
  </si>
  <si>
    <t>Expected remaining cash</t>
  </si>
  <si>
    <t>Realizable revenue</t>
  </si>
  <si>
    <t>Amount</t>
  </si>
  <si>
    <t>Cash event ID</t>
  </si>
  <si>
    <t>Claim ID</t>
  </si>
  <si>
    <t>Type</t>
  </si>
  <si>
    <t>Payment date</t>
  </si>
  <si>
    <t>Payer</t>
  </si>
  <si>
    <t>ENG001-P001</t>
  </si>
  <si>
    <t>ENG001-C001</t>
  </si>
  <si>
    <t>payer_payment</t>
  </si>
  <si>
    <t>2026-06-10</t>
  </si>
  <si>
    <t>Medicare</t>
  </si>
  <si>
    <t>ENG001-P002</t>
  </si>
  <si>
    <t>ENG001-C002</t>
  </si>
  <si>
    <t>2026-06-29</t>
  </si>
  <si>
    <t>BCBS Texas</t>
  </si>
  <si>
    <t>ENG001-P003</t>
  </si>
  <si>
    <t/>
  </si>
  <si>
    <t>unapplied_cash</t>
  </si>
  <si>
    <t>2026-06-30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</si>
  <si>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</si>
  <si>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</si>
  <si>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</si>
  <si>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</si>
  <si>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</si>
  <si>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</si>
  <si>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</si>
  <si>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ENG001-AR001:2026-06-30</t>
  </si>
  <si>
    <t>service_date</t>
  </si>
  <si>
    <t>0-30</t>
  </si>
  <si>
    <t>Active</t>
  </si>
  <si>
    <t>ENG001-AR002:2026-06-30</t>
  </si>
  <si>
    <t>121+</t>
  </si>
  <si>
    <t>Location</t>
  </si>
  <si>
    <t>LOC-01</t>
  </si>
  <si>
    <t>LOC-02</t>
  </si>
  <si>
    <t>Provider</t>
  </si>
  <si>
    <t>PRV-001</t>
  </si>
  <si>
    <t>PRV-002</t>
  </si>
  <si>
    <t>Service line</t>
  </si>
  <si>
    <t>Cardiology</t>
  </si>
  <si>
    <t>Orthopedics</t>
  </si>
  <si>
    <t>Configured recovery rate</t>
  </si>
  <si>
    <t>A/R balance</t>
  </si>
  <si>
    <t>Expected recovery</t>
  </si>
  <si>
    <t>31-60</t>
  </si>
  <si>
    <t>61-90</t>
  </si>
  <si>
    <t>91-120</t>
  </si>
  <si>
    <t>Method profile</t>
  </si>
  <si>
    <t>synthetic-demo-scenario-v0.1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</si>
  <si>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</si>
  <si>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</si>
  <si>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</si>
  <si>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</si>
  <si>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</si>
  <si>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</si>
  <si>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</si>
  <si>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Collection Curves!B2:B6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</si>
  <si>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</si>
  <si>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</si>
  <si>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</si>
  <si>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</si>
  <si>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</si>
  <si>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</si>
  <si>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</si>
  <si>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</si>
  <si>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</si>
  <si>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</si>
  <si>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</si>
  <si>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</si>
  <si>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cfc655633d1d8c9f558ad2f75e1f329597e57be42c3ec10add578f66065ee9ea:2; cfc655633d1d8c9f558ad2f75e1f329597e57be42c3ec10add578f66065ee9ea:3; cfc655633d1d8c9f558ad2f75e1f329597e57be42c3ec10add578f66065ee9ea:4; 45aed22e980cb357ba709f0da96d3a033b7669da1e9ce3bff1fa9ef88da1044e:2</t>
  </si>
  <si>
    <t>Matched cash to GL cash</t>
  </si>
  <si>
    <t>cfc655633d1d8c9f558ad2f75e1f329597e57be42c3ec10add578f66065ee9ea:2; cfc655633d1d8c9f558ad2f75e1f329597e57be42c3ec10add578f66065ee9ea:3</t>
  </si>
  <si>
    <t>A/R snapshot to GL A/R</t>
  </si>
  <si>
    <t>bf94986286656f63b92f66fc57c5412a219ec14a7e0fc6604d7aba34d9fd5fe2:2; bf94986286656f63b92f66fc57c5412a219ec14a7e0fc6604d7aba34d9fd5fe2:3; 45aed22e980cb357ba709f0da96d3a033b7669da1e9ce3bff1fa9ef88da1044e:2</t>
  </si>
  <si>
    <t>Status</t>
  </si>
  <si>
    <t>Title</t>
  </si>
  <si>
    <t>Detail</t>
  </si>
  <si>
    <t>open</t>
  </si>
  <si>
    <t>All cash to GL cash difference</t>
  </si>
  <si>
    <t>Difference remains visible: 75000 cents. Professional materiality is unset.</t>
  </si>
  <si>
    <t>Matched cash to GL cash difference</t>
  </si>
  <si>
    <t>Difference remains visible: 107145 cents. Professional materiality is unset.</t>
  </si>
  <si>
    <t>A/R snapshot to GL A/R difference</t>
  </si>
  <si>
    <t>Difference remains visible: 140501 cents. Professional materiality is unset.</t>
  </si>
  <si>
    <t>Unmatched cash</t>
  </si>
  <si>
    <t>32145 cents is not linked to a canonical claim; no balancing entry was made.</t>
  </si>
  <si>
    <t>cfc655633d1d8c9f558ad2f75e1f329597e57be42c3ec10add578f66065ee9ea:4</t>
  </si>
  <si>
    <t>Source file</t>
  </si>
  <si>
    <t>File hash</t>
  </si>
  <si>
    <t>Source row</t>
  </si>
  <si>
    <t>Record type</t>
  </si>
  <si>
    <t>Record ID</t>
  </si>
  <si>
    <t>claims.csv</t>
  </si>
  <si>
    <t>8915d58574a70bb9a9058707176d3e3e8061f7e5749f1e7b5e33d31c98ca84ca</t>
  </si>
  <si>
    <t>8915d58574a70bb9a9058707176d3e3e8061f7e5749f1e7b5e33d31c98ca84ca:2</t>
  </si>
  <si>
    <t>Claim</t>
  </si>
  <si>
    <t>ENG001-C001:v1</t>
  </si>
  <si>
    <t>8915d58574a70bb9a9058707176d3e3e8061f7e5749f1e7b5e33d31c98ca84ca:3</t>
  </si>
  <si>
    <t>ENG001-C002:v1</t>
  </si>
  <si>
    <t>payments.csv</t>
  </si>
  <si>
    <t>cfc655633d1d8c9f558ad2f75e1f329597e57be42c3ec10add578f66065ee9ea</t>
  </si>
  <si>
    <t>cfc655633d1d8c9f558ad2f75e1f329597e57be42c3ec10add578f66065ee9ea:2</t>
  </si>
  <si>
    <t>CashEvent</t>
  </si>
  <si>
    <t>cfc655633d1d8c9f558ad2f75e1f329597e57be42c3ec10add578f66065ee9ea:3</t>
  </si>
  <si>
    <t>ar_snapshot.csv</t>
  </si>
  <si>
    <t>bf94986286656f63b92f66fc57c5412a219ec14a7e0fc6604d7aba34d9fd5fe2</t>
  </si>
  <si>
    <t>bf94986286656f63b92f66fc57c5412a219ec14a7e0fc6604d7aba34d9fd5fe2:2</t>
  </si>
  <si>
    <t>Receivable</t>
  </si>
  <si>
    <t>bf94986286656f63b92f66fc57c5412a219ec14a7e0fc6604d7aba34d9fd5fe2:3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</si>
</sst>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109646.56</v>
      </c>
    </row>
    <row r="7" spans="1:2" x14ac:dyDescent="0.25">
      <c r="A7" t="s">
        <v>8</v>
      </c>
      <c r="B7" s="1">
        <v>69116.88</v>
      </c>
    </row>
    <row r="8" spans="1:2" x14ac:dyDescent="0.25">
      <c r="A8" t="s">
        <v>9</v>
      </c>
      <c r="B8" s="1">
        <v>53527.04</v>
      </c>
    </row>
    <row r="9" spans="1:2" x14ac:dyDescent="0.25">
      <c r="A9" t="s">
        <v>10</v>
      </c>
      <c r="B9" s="1">
        <v>15911.29</v>
      </c>
    </row>
    <row r="10" spans="1:2" x14ac:dyDescent="0.25">
      <c r="A10" t="s">
        <v>11</v>
      </c>
      <c r="B10" s="1">
        <f>SUM('Collection Curves'!D2:D6)</f>
      </c>
    </row>
    <row r="11" spans="1:2" x14ac:dyDescent="0.25">
      <c r="A11" t="s">
        <v>12</v>
      </c>
      <c r="B11" s="1">
        <f>B8+B10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13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9</v>
      </c>
      <c r="B4" s="1">
        <f>'Executive Summary'!B8</f>
      </c>
    </row>
    <row r="5" spans="1:2" x14ac:dyDescent="0.25">
      <c r="A5" t="s">
        <v>11</v>
      </c>
      <c r="B5" s="1">
        <f>'Executive Summary'!B10</f>
      </c>
    </row>
    <row r="6" spans="1:2" x14ac:dyDescent="0.25">
      <c r="A6" t="s">
        <v>12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3" t="s">
        <v>13</v>
      </c>
    </row>
    <row r="2" spans="1:6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s="1">
        <v>50000</v>
      </c>
    </row>
    <row r="3" spans="1:6" x14ac:dyDescent="0.25">
      <c r="A3" t="s">
        <v>24</v>
      </c>
      <c r="B3" t="s">
        <v>25</v>
      </c>
      <c r="C3" t="s">
        <v>21</v>
      </c>
      <c r="D3" t="s">
        <v>26</v>
      </c>
      <c r="E3" t="s">
        <v>27</v>
      </c>
      <c r="F3" s="1">
        <v>3205.59</v>
      </c>
    </row>
    <row r="4" spans="1:6" x14ac:dyDescent="0.25">
      <c r="A4" t="s">
        <v>28</v>
      </c>
      <c r="B4" t="s">
        <v>29</v>
      </c>
      <c r="C4" t="s">
        <v>30</v>
      </c>
      <c r="D4" t="s">
        <v>31</v>
      </c>
      <c r="E4" t="s">
        <v>32</v>
      </c>
      <c r="F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33</v>
      </c>
      <c r="B1" s="2" t="s">
        <v>34</v>
      </c>
      <c r="C1" s="2" t="s">
        <v>15</v>
      </c>
      <c r="D1" s="2" t="s">
        <v>35</v>
      </c>
      <c r="E1" s="2" t="s">
        <v>36</v>
      </c>
      <c r="F1" s="3" t="s">
        <v>37</v>
      </c>
      <c r="G1" s="2" t="s">
        <v>38</v>
      </c>
    </row>
    <row r="2" spans="1:7" x14ac:dyDescent="0.25">
      <c r="A2" t="s">
        <v>39</v>
      </c>
      <c r="B2" t="s">
        <v>31</v>
      </c>
      <c r="C2" t="s">
        <v>20</v>
      </c>
      <c r="D2" t="s">
        <v>40</v>
      </c>
      <c r="E2" t="s">
        <v>41</v>
      </c>
      <c r="F2" s="1">
        <v>6889.77</v>
      </c>
      <c r="G2" t="s">
        <v>42</v>
      </c>
    </row>
    <row r="3" spans="1:7" x14ac:dyDescent="0.25">
      <c r="A3" t="s">
        <v>43</v>
      </c>
      <c r="B3" t="s">
        <v>31</v>
      </c>
      <c r="C3" t="s">
        <v>25</v>
      </c>
      <c r="D3" t="s">
        <v>40</v>
      </c>
      <c r="E3" t="s">
        <v>44</v>
      </c>
      <c r="F3" s="1">
        <v>9021.52</v>
      </c>
      <c r="G3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18</v>
      </c>
      <c r="B1" s="3" t="s">
        <v>9</v>
      </c>
    </row>
    <row r="2" spans="1:2" x14ac:dyDescent="0.25">
      <c r="A2" t="s">
        <v>23</v>
      </c>
      <c r="B2" s="1">
        <v>50000</v>
      </c>
    </row>
    <row r="3" spans="1:2" x14ac:dyDescent="0.25">
      <c r="A3" t="s">
        <v>27</v>
      </c>
      <c r="B3" s="1">
        <v>3205.59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45</v>
      </c>
      <c r="B1" s="3" t="s">
        <v>7</v>
      </c>
    </row>
    <row r="2" spans="1:2" x14ac:dyDescent="0.25">
      <c r="A2" t="s">
        <v>46</v>
      </c>
      <c r="B2" s="1">
        <v>60000</v>
      </c>
    </row>
    <row r="3" spans="1:2" x14ac:dyDescent="0.25">
      <c r="A3" t="s">
        <v>47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48</v>
      </c>
      <c r="B1" s="3" t="s">
        <v>7</v>
      </c>
    </row>
    <row r="2" spans="1:2" x14ac:dyDescent="0.25">
      <c r="A2" t="s">
        <v>49</v>
      </c>
      <c r="B2" s="1">
        <v>60000</v>
      </c>
    </row>
    <row r="3" spans="1:2" x14ac:dyDescent="0.25">
      <c r="A3" t="s">
        <v>50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51</v>
      </c>
      <c r="B1" s="3" t="s">
        <v>7</v>
      </c>
    </row>
    <row r="2" spans="1:2" x14ac:dyDescent="0.25">
      <c r="A2" t="s">
        <v>52</v>
      </c>
      <c r="B2" s="1">
        <v>60000</v>
      </c>
    </row>
    <row r="3" spans="1:2" x14ac:dyDescent="0.25">
      <c r="A3" t="s">
        <v>53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36</v>
      </c>
      <c r="B1" s="5" t="s">
        <v>54</v>
      </c>
      <c r="C1" s="3" t="s">
        <v>55</v>
      </c>
      <c r="D1" s="3" t="s">
        <v>56</v>
      </c>
    </row>
    <row r="2" spans="1:4" x14ac:dyDescent="0.25">
      <c r="A2" t="s">
        <v>41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57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58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59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44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60</v>
      </c>
      <c r="B1" s="2" t="s">
        <v>61</v>
      </c>
    </row>
    <row r="2" spans="1:2" x14ac:dyDescent="0.25">
      <c r="A2" t="s">
        <v>62</v>
      </c>
      <c r="B2" t="s">
        <v>63</v>
      </c>
    </row>
    <row r="3" spans="1:2" x14ac:dyDescent="0.25">
      <c r="A3" t="s">
        <v>64</v>
      </c>
      <c r="B3" t="s">
        <v>65</v>
      </c>
    </row>
    <row r="4" spans="1:2" x14ac:dyDescent="0.25">
      <c r="A4" t="s">
        <v>66</v>
      </c>
      <c r="B4" t="s">
        <v>67</v>
      </c>
    </row>
    <row r="5" spans="1:2" x14ac:dyDescent="0.25">
      <c r="A5" t="s">
        <v>68</v>
      </c>
      <c r="B5" t="s">
        <v>69</v>
      </c>
    </row>
    <row r="6" spans="1:2" x14ac:dyDescent="0.25">
      <c r="A6" t="s">
        <v>70</v>
      </c>
      <c r="B6" t="s">
        <v>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72</v>
      </c>
      <c r="B1" s="3" t="s">
        <v>73</v>
      </c>
      <c r="C1" s="3" t="s">
        <v>74</v>
      </c>
      <c r="D1" s="3" t="s">
        <v>75</v>
      </c>
      <c r="E1" s="2" t="s">
        <v>76</v>
      </c>
      <c r="F1" s="2" t="s">
        <v>77</v>
      </c>
      <c r="G1" s="2" t="s">
        <v>78</v>
      </c>
    </row>
    <row r="2" spans="1:7" x14ac:dyDescent="0.25">
      <c r="A2" t="s">
        <v>79</v>
      </c>
      <c r="B2" s="1">
        <v>53527.04</v>
      </c>
      <c r="C2" s="1">
        <v>52777.04</v>
      </c>
      <c r="D2" s="1">
        <f>B2-C2</f>
      </c>
      <c r="E2" t="s">
        <v>80</v>
      </c>
      <c r="F2" t="s">
        <v>81</v>
      </c>
      <c r="G2" t="s">
        <v>82</v>
      </c>
    </row>
    <row r="3" spans="1:7" x14ac:dyDescent="0.25">
      <c r="A3" t="s">
        <v>83</v>
      </c>
      <c r="B3" s="1">
        <v>53205.59</v>
      </c>
      <c r="C3" s="1">
        <v>52134.14</v>
      </c>
      <c r="D3" s="1">
        <f>B3-C3</f>
      </c>
      <c r="E3" t="s">
        <v>80</v>
      </c>
      <c r="F3" t="s">
        <v>81</v>
      </c>
      <c r="G3" t="s">
        <v>84</v>
      </c>
    </row>
    <row r="4" spans="1:7" x14ac:dyDescent="0.25">
      <c r="A4" t="s">
        <v>85</v>
      </c>
      <c r="B4" s="1">
        <v>15911.29</v>
      </c>
      <c r="C4" s="1">
        <v>14506.28</v>
      </c>
      <c r="D4" s="1">
        <f>B4-C4</f>
      </c>
      <c r="E4" t="s">
        <v>80</v>
      </c>
      <c r="F4" t="s">
        <v>81</v>
      </c>
      <c r="G4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87</v>
      </c>
      <c r="B1" s="2" t="s">
        <v>88</v>
      </c>
      <c r="C1" s="2" t="s">
        <v>89</v>
      </c>
      <c r="D1" s="2" t="s">
        <v>78</v>
      </c>
    </row>
    <row r="2" spans="1:4" x14ac:dyDescent="0.25">
      <c r="A2" t="s">
        <v>90</v>
      </c>
      <c r="B2" t="s">
        <v>91</v>
      </c>
      <c r="C2" t="s">
        <v>92</v>
      </c>
      <c r="D2" t="s">
        <v>82</v>
      </c>
    </row>
    <row r="3" spans="1:4" x14ac:dyDescent="0.25">
      <c r="A3" t="s">
        <v>90</v>
      </c>
      <c r="B3" t="s">
        <v>93</v>
      </c>
      <c r="C3" t="s">
        <v>94</v>
      </c>
      <c r="D3" t="s">
        <v>84</v>
      </c>
    </row>
    <row r="4" spans="1:4" x14ac:dyDescent="0.25">
      <c r="A4" t="s">
        <v>90</v>
      </c>
      <c r="B4" t="s">
        <v>95</v>
      </c>
      <c r="C4" t="s">
        <v>96</v>
      </c>
      <c r="D4" t="s">
        <v>86</v>
      </c>
    </row>
    <row r="5" spans="1:4" x14ac:dyDescent="0.25">
      <c r="A5" t="s">
        <v>90</v>
      </c>
      <c r="B5" t="s">
        <v>97</v>
      </c>
      <c r="C5" t="s">
        <v>98</v>
      </c>
      <c r="D5" t="s">
        <v>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104</v>
      </c>
    </row>
    <row r="2" spans="1:5" x14ac:dyDescent="0.25">
      <c r="A2" t="s">
        <v>105</v>
      </c>
      <c r="B2" t="s">
        <v>106</v>
      </c>
      <c r="C2" t="s">
        <v>107</v>
      </c>
      <c r="D2" t="s">
        <v>108</v>
      </c>
      <c r="E2" t="s">
        <v>109</v>
      </c>
    </row>
    <row r="3" spans="1:5" x14ac:dyDescent="0.25">
      <c r="A3" t="s">
        <v>105</v>
      </c>
      <c r="B3" t="s">
        <v>106</v>
      </c>
      <c r="C3" t="s">
        <v>110</v>
      </c>
      <c r="D3" t="s">
        <v>108</v>
      </c>
      <c r="E3" t="s">
        <v>111</v>
      </c>
    </row>
    <row r="4" spans="1:5" x14ac:dyDescent="0.25">
      <c r="A4" t="s">
        <v>112</v>
      </c>
      <c r="B4" t="s">
        <v>113</v>
      </c>
      <c r="C4" t="s">
        <v>114</v>
      </c>
      <c r="D4" t="s">
        <v>115</v>
      </c>
      <c r="E4" t="s">
        <v>19</v>
      </c>
    </row>
    <row r="5" spans="1:5" x14ac:dyDescent="0.25">
      <c r="A5" t="s">
        <v>112</v>
      </c>
      <c r="B5" t="s">
        <v>113</v>
      </c>
      <c r="C5" t="s">
        <v>116</v>
      </c>
      <c r="D5" t="s">
        <v>115</v>
      </c>
      <c r="E5" t="s">
        <v>24</v>
      </c>
    </row>
    <row r="6" spans="1:5" x14ac:dyDescent="0.25">
      <c r="A6" t="s">
        <v>112</v>
      </c>
      <c r="B6" t="s">
        <v>113</v>
      </c>
      <c r="C6" t="s">
        <v>99</v>
      </c>
      <c r="D6" t="s">
        <v>115</v>
      </c>
      <c r="E6" t="s">
        <v>28</v>
      </c>
    </row>
    <row r="7" spans="1:5" x14ac:dyDescent="0.25">
      <c r="A7" t="s">
        <v>117</v>
      </c>
      <c r="B7" t="s">
        <v>118</v>
      </c>
      <c r="C7" t="s">
        <v>119</v>
      </c>
      <c r="D7" t="s">
        <v>120</v>
      </c>
      <c r="E7" t="s">
        <v>39</v>
      </c>
    </row>
    <row r="8" spans="1:5" x14ac:dyDescent="0.25">
      <c r="A8" t="s">
        <v>117</v>
      </c>
      <c r="B8" t="s">
        <v>118</v>
      </c>
      <c r="C8" t="s">
        <v>121</v>
      </c>
      <c r="D8" t="s">
        <v>120</v>
      </c>
      <c r="E8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Collection Curves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2026-09-25T10:12:02Z</dcterms:created>
  <dcterms:modified xsi:type="dcterms:W3CDTF">2026-09-25T10:12:02Z</dcterms:modified>
</cp:coreProperties>
</file>